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018f22dce3581d/MPIRE/REAL ESTATE/BOUSHAR/Apartment Data/REPORT/"/>
    </mc:Choice>
  </mc:AlternateContent>
  <xr:revisionPtr revIDLastSave="2555" documentId="13_ncr:1_{4BE4FFBB-02AB-44C9-A0FC-157B47834497}" xr6:coauthVersionLast="47" xr6:coauthVersionMax="47" xr10:uidLastSave="{36C8DED5-7DC1-47AA-83F2-2FC3ECF3AE08}"/>
  <bookViews>
    <workbookView xWindow="-98" yWindow="-98" windowWidth="20715" windowHeight="13155" tabRatio="716" xr2:uid="{00000000-000D-0000-FFFF-FFFF00000000}"/>
  </bookViews>
  <sheets>
    <sheet name="Expenses record" sheetId="10" r:id="rId1"/>
    <sheet name="Reconciliation" sheetId="11" r:id="rId2"/>
  </sheets>
  <definedNames>
    <definedName name="_term">INDEX({52;26;24;12;6;4;2;1},MATCH(#REF!,{"Weekly";"Bi-weekly";"Semi-monthly";"Monthly";"Bi-monthly";"Quarterly";"Semi-annually";"Annually"},0))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0" i="10" l="1"/>
  <c r="F564" i="10" s="1"/>
  <c r="C186" i="11"/>
  <c r="C187" i="11"/>
  <c r="C188" i="11"/>
  <c r="C189" i="11"/>
  <c r="C185" i="11"/>
  <c r="C131" i="11"/>
  <c r="G528" i="10"/>
  <c r="C143" i="11"/>
  <c r="C141" i="11"/>
  <c r="C140" i="11"/>
  <c r="C145" i="11" s="1"/>
  <c r="C139" i="11"/>
  <c r="C132" i="11"/>
  <c r="C77" i="11"/>
  <c r="C78" i="11" s="1"/>
  <c r="C86" i="11" s="1"/>
  <c r="C70" i="11"/>
  <c r="C85" i="11" s="1"/>
  <c r="C41" i="11"/>
  <c r="C83" i="11" s="1"/>
  <c r="E17" i="11"/>
  <c r="C17" i="11"/>
  <c r="F16" i="11"/>
  <c r="F15" i="11"/>
  <c r="F14" i="11"/>
  <c r="F13" i="11"/>
  <c r="F12" i="11"/>
  <c r="F11" i="11"/>
  <c r="F10" i="11"/>
  <c r="F9" i="11"/>
  <c r="F8" i="11"/>
  <c r="F7" i="11"/>
  <c r="F6" i="11"/>
  <c r="E567" i="10"/>
  <c r="F527" i="10"/>
  <c r="E533" i="10"/>
  <c r="G491" i="10"/>
  <c r="E530" i="10"/>
  <c r="F490" i="10"/>
  <c r="E496" i="10"/>
  <c r="E493" i="10"/>
  <c r="G464" i="10"/>
  <c r="G441" i="10"/>
  <c r="E469" i="10"/>
  <c r="F463" i="10" s="1"/>
  <c r="E466" i="10"/>
  <c r="C133" i="11" l="1"/>
  <c r="F17" i="11"/>
  <c r="C81" i="11"/>
  <c r="D83" i="11" s="1"/>
  <c r="C82" i="11"/>
  <c r="E443" i="10"/>
  <c r="F440" i="10" s="1"/>
  <c r="E419" i="10"/>
  <c r="E416" i="10"/>
  <c r="E388" i="10"/>
  <c r="E386" i="10"/>
  <c r="E356" i="10"/>
  <c r="E326" i="10"/>
  <c r="E293" i="10"/>
  <c r="E268" i="10"/>
  <c r="E237" i="10"/>
  <c r="E202" i="10"/>
  <c r="E169" i="10"/>
  <c r="E154" i="10"/>
  <c r="E137" i="10"/>
  <c r="E31" i="10"/>
  <c r="D82" i="11" l="1"/>
  <c r="G414" i="10"/>
  <c r="F413" i="10" l="1"/>
  <c r="G384" i="10"/>
  <c r="G354" i="10" l="1"/>
  <c r="F353" i="10"/>
  <c r="F383" i="10"/>
  <c r="F199" i="10" l="1"/>
  <c r="F234" i="10"/>
  <c r="F197" i="10"/>
  <c r="F180" i="10"/>
  <c r="F144" i="10"/>
  <c r="F133" i="10"/>
  <c r="F322" i="10"/>
  <c r="F289" i="10"/>
  <c r="F263" i="10"/>
  <c r="G323" i="10"/>
  <c r="J295" i="10"/>
  <c r="G290" i="10"/>
</calcChain>
</file>

<file path=xl/sharedStrings.xml><?xml version="1.0" encoding="utf-8"?>
<sst xmlns="http://schemas.openxmlformats.org/spreadsheetml/2006/main" count="1668" uniqueCount="661">
  <si>
    <t>Amount</t>
  </si>
  <si>
    <t>Date</t>
  </si>
  <si>
    <t>Description</t>
  </si>
  <si>
    <t>Anwar purchase of glue and cleaning chemical</t>
  </si>
  <si>
    <t>Sewage removal</t>
  </si>
  <si>
    <t>Anwar salary</t>
  </si>
  <si>
    <t>Gas connection</t>
  </si>
  <si>
    <t>Cleaning company advanced payment</t>
  </si>
  <si>
    <t>Sewage Connection</t>
  </si>
  <si>
    <t>Windows final payment</t>
  </si>
  <si>
    <t>Crutain fixing</t>
  </si>
  <si>
    <t>Sewage charges</t>
  </si>
  <si>
    <t>Firefighting final payment</t>
  </si>
  <si>
    <t>Cleaning company remaining payment</t>
  </si>
  <si>
    <t>Windows fixing</t>
  </si>
  <si>
    <t>Gas cylinder fixing</t>
  </si>
  <si>
    <t>Anwar cleaning items</t>
  </si>
  <si>
    <t>Cleaning company</t>
  </si>
  <si>
    <t>azeema</t>
  </si>
  <si>
    <t>Sr no.#</t>
  </si>
  <si>
    <t>Anwar item purchase</t>
  </si>
  <si>
    <t>Common electricity meter july bill</t>
  </si>
  <si>
    <t>Anwar purchasing</t>
  </si>
  <si>
    <t>Rental contract 3% municipality fees</t>
  </si>
  <si>
    <t>Water bill up to august</t>
  </si>
  <si>
    <t>Electricity bill up to august</t>
  </si>
  <si>
    <t>Utilities</t>
  </si>
  <si>
    <t>Salary</t>
  </si>
  <si>
    <t>Anwar Purchasing</t>
  </si>
  <si>
    <t>Electricity payment apartments</t>
  </si>
  <si>
    <t>Internet</t>
  </si>
  <si>
    <t xml:space="preserve">Sink </t>
  </si>
  <si>
    <t>Key holders</t>
  </si>
  <si>
    <t>Scenters</t>
  </si>
  <si>
    <t>Person in Management Expenses</t>
  </si>
  <si>
    <t>Personal Management Fee</t>
  </si>
  <si>
    <t>Rental Commision August-24</t>
  </si>
  <si>
    <t>Contractor final payment</t>
  </si>
  <si>
    <t>Anwar maintnance items</t>
  </si>
  <si>
    <t>Pressure piping change</t>
  </si>
  <si>
    <t>Trash removal</t>
  </si>
  <si>
    <t>Maintnance items</t>
  </si>
  <si>
    <t>Firefighting connections</t>
  </si>
  <si>
    <t>AC gas refilling</t>
  </si>
  <si>
    <t>water bills paid</t>
  </si>
  <si>
    <t>Personal Management fee</t>
  </si>
  <si>
    <t>Common water meter recharge</t>
  </si>
  <si>
    <t>Extra labour help for cleaning outdoor trash</t>
  </si>
  <si>
    <t>Cleaning materials</t>
  </si>
  <si>
    <t>Paint supplies</t>
  </si>
  <si>
    <t>Basement lighting + gypsum fixing</t>
  </si>
  <si>
    <t>Rental Commision September-24</t>
  </si>
  <si>
    <t>Internet august</t>
  </si>
  <si>
    <t>Internet september</t>
  </si>
  <si>
    <t>Window fixing</t>
  </si>
  <si>
    <t>Rental Commision October-24</t>
  </si>
  <si>
    <t>Person in management expenses</t>
  </si>
  <si>
    <t>Common electricity meter september + october bill</t>
  </si>
  <si>
    <t>Internet hardware purchase for fixing wifi problems</t>
  </si>
  <si>
    <t xml:space="preserve">Electricity meter recharge </t>
  </si>
  <si>
    <t xml:space="preserve">Anwar medical treatment </t>
  </si>
  <si>
    <t>Leakage fixing</t>
  </si>
  <si>
    <t>Electricity bill qurum villa before june</t>
  </si>
  <si>
    <t>Leakage fixing AC drain problem</t>
  </si>
  <si>
    <t xml:space="preserve">AC inspection </t>
  </si>
  <si>
    <t>Exhaust fan + spot lights</t>
  </si>
  <si>
    <t>Ground floor glass doors replacement</t>
  </si>
  <si>
    <t xml:space="preserve">Leakage fixing </t>
  </si>
  <si>
    <t>Electricity meter apartment</t>
  </si>
  <si>
    <t>Internet november+october</t>
  </si>
  <si>
    <t>common electricity meter October</t>
  </si>
  <si>
    <t xml:space="preserve">Kitchen mixer replacement </t>
  </si>
  <si>
    <t>Paint for maintnance</t>
  </si>
  <si>
    <t>Electricity payment apartment meter</t>
  </si>
  <si>
    <t xml:space="preserve">Labour for paint </t>
  </si>
  <si>
    <t xml:space="preserve">Glass door fixing </t>
  </si>
  <si>
    <t xml:space="preserve">Electrixity payment apartment meter </t>
  </si>
  <si>
    <t xml:space="preserve">Painting for maintnace </t>
  </si>
  <si>
    <t>UPVC door for garbage chute area</t>
  </si>
  <si>
    <t>Category</t>
  </si>
  <si>
    <t>General Expenses</t>
  </si>
  <si>
    <t>Repair &amp; Maintnance</t>
  </si>
  <si>
    <t>Municipality fee</t>
  </si>
  <si>
    <t>Commission fee</t>
  </si>
  <si>
    <t>business manager fee</t>
  </si>
  <si>
    <t>Private expenses</t>
  </si>
  <si>
    <t>Anwar purchasing maintnance items</t>
  </si>
  <si>
    <t>Garbage Disposal</t>
  </si>
  <si>
    <t>Mixer and socket fixing</t>
  </si>
  <si>
    <t>Anwar room pantry and ceiling</t>
  </si>
  <si>
    <t>Paid by owner</t>
  </si>
  <si>
    <t>Paid by owner to MPIRE</t>
  </si>
  <si>
    <t>Pending Amount</t>
  </si>
  <si>
    <t>Pending Amount to MPIRE</t>
  </si>
  <si>
    <t>paid by owner to MPIRE</t>
  </si>
  <si>
    <t>pending amount to MPIRE</t>
  </si>
  <si>
    <t>December Common electricity bill</t>
  </si>
  <si>
    <t>Consultant fees to split shops</t>
  </si>
  <si>
    <t>Fixing broken glass shop</t>
  </si>
  <si>
    <t>Apartment general fixing</t>
  </si>
  <si>
    <t>Rental Commission January -25</t>
  </si>
  <si>
    <t>Court fees for apartment 15</t>
  </si>
  <si>
    <t>Court fees for apartment 58</t>
  </si>
  <si>
    <t>Legal Fees</t>
  </si>
  <si>
    <t>False Ceiling for shop</t>
  </si>
  <si>
    <t>December +  January Internet bill</t>
  </si>
  <si>
    <t>Fire consultant drawing fees</t>
  </si>
  <si>
    <t>Electricity recharge shop</t>
  </si>
  <si>
    <t>Window fixing broken glass</t>
  </si>
  <si>
    <t>Apartment leakage fixing</t>
  </si>
  <si>
    <t>Rental commission February -25</t>
  </si>
  <si>
    <t>Fixing leakage problem</t>
  </si>
  <si>
    <t>Elevator part replacement</t>
  </si>
  <si>
    <t>Plans changes from baladiya</t>
  </si>
  <si>
    <t>Lock replacement apr 43 &amp; 15</t>
  </si>
  <si>
    <t>Water meter recharge</t>
  </si>
  <si>
    <t>Mixer replacement</t>
  </si>
  <si>
    <t>Rental Commision March-25</t>
  </si>
  <si>
    <t>Fridge fixing</t>
  </si>
  <si>
    <t xml:space="preserve">Electricity bill apartment </t>
  </si>
  <si>
    <t>February + March internet bill</t>
  </si>
  <si>
    <t>February Electricity Bill</t>
  </si>
  <si>
    <t>Bently payment</t>
  </si>
  <si>
    <t xml:space="preserve">Smoke machine for mousqitous </t>
  </si>
  <si>
    <t xml:space="preserve">Muscta hills service charge </t>
  </si>
  <si>
    <t>Garbage disposal 3 months</t>
  </si>
  <si>
    <t>Almujahid juice and meat purchase</t>
  </si>
  <si>
    <t xml:space="preserve">AC cleaning equipments </t>
  </si>
  <si>
    <t>Doors</t>
  </si>
  <si>
    <t>Piping purchase for AC cleaning</t>
  </si>
  <si>
    <t>Perfumes for building</t>
  </si>
  <si>
    <t>AC fixing master bedroom</t>
  </si>
  <si>
    <t xml:space="preserve">Tank fixing jabal apartments </t>
  </si>
  <si>
    <t>Garbage disposal beds</t>
  </si>
  <si>
    <t>Pipe leakage fixing jabal apartments</t>
  </si>
  <si>
    <t>Cook ticket purchase</t>
  </si>
  <si>
    <t>Business manager fee</t>
  </si>
  <si>
    <t>Rental commission April-25</t>
  </si>
  <si>
    <t>Salary pakistani</t>
  </si>
  <si>
    <t>RFD door chips</t>
  </si>
  <si>
    <t>Cook salary</t>
  </si>
  <si>
    <t>Painting apartment</t>
  </si>
  <si>
    <t>Mostafa salary</t>
  </si>
  <si>
    <t xml:space="preserve">Laundry jabal apartments </t>
  </si>
  <si>
    <t>Firefighting certificate jabal shops</t>
  </si>
  <si>
    <t xml:space="preserve">Door fixing and kitchen cabinets </t>
  </si>
  <si>
    <t>Mary salary</t>
  </si>
  <si>
    <t>Porsche tow truck</t>
  </si>
  <si>
    <t xml:space="preserve">Porsche fixing </t>
  </si>
  <si>
    <t xml:space="preserve">Apartment painting </t>
  </si>
  <si>
    <t>Almujahid repayment</t>
  </si>
  <si>
    <t>Warith repayment</t>
  </si>
  <si>
    <t>Electric motor jabal shops for firefighting</t>
  </si>
  <si>
    <t xml:space="preserve">AC fixing </t>
  </si>
  <si>
    <t>AC inspection</t>
  </si>
  <si>
    <t>AC fixing</t>
  </si>
  <si>
    <t>Microwave fixing</t>
  </si>
  <si>
    <t>Cleaning items</t>
  </si>
  <si>
    <t>Porsche fixing</t>
  </si>
  <si>
    <t>Garbage disposal</t>
  </si>
  <si>
    <t xml:space="preserve">Almujahid plumbin fixing </t>
  </si>
  <si>
    <t>Internet bill boushar</t>
  </si>
  <si>
    <t xml:space="preserve">Electricity Bill March </t>
  </si>
  <si>
    <t>Cockroach chemical</t>
  </si>
  <si>
    <t>Pest control machine jabal akhdar</t>
  </si>
  <si>
    <t>Rental commission May-25</t>
  </si>
  <si>
    <t>Ac fixing</t>
  </si>
  <si>
    <t>Eid Perfume Gifts</t>
  </si>
  <si>
    <t>Washing machine fixing</t>
  </si>
  <si>
    <t>Faisal bill payment</t>
  </si>
  <si>
    <t>Muhallab bill repayment</t>
  </si>
  <si>
    <t>Mary visa renewal</t>
  </si>
  <si>
    <t>Qurum AC fixing</t>
  </si>
  <si>
    <t>Cook Salary</t>
  </si>
  <si>
    <t>ROP card issue mary</t>
  </si>
  <si>
    <t>Workers to clean water drainage jabal apt</t>
  </si>
  <si>
    <t>Jabal fridge fixing</t>
  </si>
  <si>
    <t>AC fixing alsadd house</t>
  </si>
  <si>
    <t>Salary mary</t>
  </si>
  <si>
    <t>Salary bavani</t>
  </si>
  <si>
    <t>Mary hospital bills</t>
  </si>
  <si>
    <t>Anas remaining payment leakage fixing</t>
  </si>
  <si>
    <t>Wire purchase for internet fixing</t>
  </si>
  <si>
    <t xml:space="preserve">Qasim taxi </t>
  </si>
  <si>
    <t>Municipality 3% new contract</t>
  </si>
  <si>
    <t>AC pipes blockage fixing</t>
  </si>
  <si>
    <t>Repair shop AC isolator</t>
  </si>
  <si>
    <t>Paint and cleaning items</t>
  </si>
  <si>
    <t>Washing machine new purchase</t>
  </si>
  <si>
    <t>AC fixing Muscat hills</t>
  </si>
  <si>
    <t>Lexus traffic bill</t>
  </si>
  <si>
    <t xml:space="preserve">Alsadd house workers salaries </t>
  </si>
  <si>
    <t>Anwar Salary</t>
  </si>
  <si>
    <t>Apartment cleaning and painting</t>
  </si>
  <si>
    <t>Muscat Hills Maintnance</t>
  </si>
  <si>
    <t xml:space="preserve">Broken Window fixing </t>
  </si>
  <si>
    <t>Mostafa fixing farm items</t>
  </si>
  <si>
    <t>Qurum villa water bill</t>
  </si>
  <si>
    <t>Internet bill boushar 2 months</t>
  </si>
  <si>
    <t xml:space="preserve">Cockroaches chemical </t>
  </si>
  <si>
    <t>bank muscat ATM contract registeration</t>
  </si>
  <si>
    <t>Rodent chemical company</t>
  </si>
  <si>
    <t>Painting items</t>
  </si>
  <si>
    <t xml:space="preserve">Warith food payment for azeema </t>
  </si>
  <si>
    <t>Electricity bill payment</t>
  </si>
  <si>
    <t>Garbage disposal may &amp; june</t>
  </si>
  <si>
    <t>AC gas refill</t>
  </si>
  <si>
    <t>Electricity Bill main</t>
  </si>
  <si>
    <t>Tyre change lexus</t>
  </si>
  <si>
    <t>Munakher Amwal transfer</t>
  </si>
  <si>
    <t>Apartment Repairs</t>
  </si>
  <si>
    <t>Electrician alsadd house</t>
  </si>
  <si>
    <t>Ipad Muthanna gift</t>
  </si>
  <si>
    <t>Temporary worker alsadd house</t>
  </si>
  <si>
    <t>Visa zanzibar and insurance</t>
  </si>
  <si>
    <t>Krooki alkhoudh house renewal</t>
  </si>
  <si>
    <t>Parking devices bousher</t>
  </si>
  <si>
    <t>Bareeq apartment painting + cleaning</t>
  </si>
  <si>
    <t>Repair items bousher</t>
  </si>
  <si>
    <t xml:space="preserve">Carpet cleaning jabal </t>
  </si>
  <si>
    <t>Pest control full building</t>
  </si>
  <si>
    <t>AC fixing qassim room</t>
  </si>
  <si>
    <t>AC fixing jabal apartment</t>
  </si>
  <si>
    <t>AC fixing bareeq apartment</t>
  </si>
  <si>
    <t>Electricity payment common meter</t>
  </si>
  <si>
    <t>Furniture disposal qurum apartment</t>
  </si>
  <si>
    <t>Fridge fixing alsadd house</t>
  </si>
  <si>
    <t>Municipality 3% new contract Bareeq Apartment</t>
  </si>
  <si>
    <t>Poilishing New Granite muscat hills</t>
  </si>
  <si>
    <t>AC maintnance alsadd house</t>
  </si>
  <si>
    <t>AC fixing qurum apartment</t>
  </si>
  <si>
    <t>Offset expenses</t>
  </si>
  <si>
    <t>Paint supplies Bousher Building</t>
  </si>
  <si>
    <t>Water meter recharge apartment cleaning</t>
  </si>
  <si>
    <t>Internet bill</t>
  </si>
  <si>
    <t>Electricity recharge apartment</t>
  </si>
  <si>
    <t>Garbage disposal July</t>
  </si>
  <si>
    <t>Pomegranate helper picker and equipments</t>
  </si>
  <si>
    <t>Heater fixing muscat hills</t>
  </si>
  <si>
    <t xml:space="preserve">Apartment door fixing </t>
  </si>
  <si>
    <t>Garbage Disposal August</t>
  </si>
  <si>
    <t>Common meter electricity bill July</t>
  </si>
  <si>
    <t>Common meter electricity bill June</t>
  </si>
  <si>
    <t>Maid cook bavani passport charges</t>
  </si>
  <si>
    <t>Elevator part fixing</t>
  </si>
  <si>
    <t>Tyre Purchase Porsche</t>
  </si>
  <si>
    <t xml:space="preserve">AC bareeq apartment fixing </t>
  </si>
  <si>
    <t>Tyre replacement service</t>
  </si>
  <si>
    <t xml:space="preserve">Worker Helper Pomegranate </t>
  </si>
  <si>
    <t xml:space="preserve">Internet Fixing </t>
  </si>
  <si>
    <t xml:space="preserve">Alsadd house AC fixing &amp; Cleaning </t>
  </si>
  <si>
    <t xml:space="preserve">Qurum Villa AC fixing &amp; Cleaning </t>
  </si>
  <si>
    <t>Municipality 3% contract registeration</t>
  </si>
  <si>
    <t xml:space="preserve">Muscat hills all AC maintnance </t>
  </si>
  <si>
    <t>Fixing sink apartment</t>
  </si>
  <si>
    <t>Alsadd house staff salaries</t>
  </si>
  <si>
    <t>Rental commission AUG-25</t>
  </si>
  <si>
    <t>Rental commission JULY-25</t>
  </si>
  <si>
    <t>Rental commission JUNE-25</t>
  </si>
  <si>
    <t>Bently Wheel Rings Payment</t>
  </si>
  <si>
    <t>Alkhuwair Villa Advance payment 40%</t>
  </si>
  <si>
    <t>AC fixing Alsadd House</t>
  </si>
  <si>
    <t>Printing signboards bousher</t>
  </si>
  <si>
    <t>Common Meter electricity bill Aug + Sept</t>
  </si>
  <si>
    <t>Glass door fixing</t>
  </si>
  <si>
    <t>Bareeq water bill old</t>
  </si>
  <si>
    <t>Bareeq electricity bill old</t>
  </si>
  <si>
    <t xml:space="preserve">Locks replacement </t>
  </si>
  <si>
    <t>Curtain replacement Bareeq apartment</t>
  </si>
  <si>
    <t xml:space="preserve">Maid October salary </t>
  </si>
  <si>
    <t>Alkhuwair Villa payment 35%</t>
  </si>
  <si>
    <t>Water meter common</t>
  </si>
  <si>
    <t>Maid extra baggage</t>
  </si>
  <si>
    <t xml:space="preserve">Advance payment bathroom leakage fixing </t>
  </si>
  <si>
    <t xml:space="preserve">Bently fixing </t>
  </si>
  <si>
    <t>Fridge fixing bousher</t>
  </si>
  <si>
    <t>Remaining amount bathroom leakage fixing</t>
  </si>
  <si>
    <t>Advance for bareeq apartment</t>
  </si>
  <si>
    <t xml:space="preserve">Paint items </t>
  </si>
  <si>
    <t>Alkhuwair pipe rooftop change</t>
  </si>
  <si>
    <t>Rental commission OCT-25</t>
  </si>
  <si>
    <t>Alsadd house electricity bill 2 months</t>
  </si>
  <si>
    <t xml:space="preserve">Second Payment Bareeq Apartment fixing </t>
  </si>
  <si>
    <t>Alsadd house electricity bill second meter</t>
  </si>
  <si>
    <t>Garbage disposal 2 months</t>
  </si>
  <si>
    <t xml:space="preserve">lawyer Office charges </t>
  </si>
  <si>
    <t>Anwar advanced salary</t>
  </si>
  <si>
    <t>Door Fixing Alsadd House &amp; Bousher</t>
  </si>
  <si>
    <t>Alkhuwair final payment</t>
  </si>
  <si>
    <t>Damac service charge</t>
  </si>
  <si>
    <t>Bareeq partial payment</t>
  </si>
  <si>
    <t>Lock and door fixing alsadd house</t>
  </si>
  <si>
    <t>Inaya service charge</t>
  </si>
  <si>
    <t>Alkhuwair extra maintnance items</t>
  </si>
  <si>
    <t xml:space="preserve">Pipe fixing </t>
  </si>
  <si>
    <t xml:space="preserve">Porsche car accident fixing </t>
  </si>
  <si>
    <t>Lights purchase alkhuwair</t>
  </si>
  <si>
    <t>Porsche bumper fixing</t>
  </si>
  <si>
    <t>Samad purchase jabal farm</t>
  </si>
  <si>
    <t xml:space="preserve">Pest control medicine </t>
  </si>
  <si>
    <t xml:space="preserve">Jabal Farm big tank plumbing fixing </t>
  </si>
  <si>
    <t>Curbstones</t>
  </si>
  <si>
    <t>Mostafa Salary</t>
  </si>
  <si>
    <t>Alsadd electricity payment 1 meter</t>
  </si>
  <si>
    <t>Tailor expenses mother</t>
  </si>
  <si>
    <t>Water heater replacement</t>
  </si>
  <si>
    <t>Alsadd House electricity payment Nov S68394</t>
  </si>
  <si>
    <t>Alsadd House electricity payment Nov S68395</t>
  </si>
  <si>
    <t>Alsadd House electricity payment Nov S124385</t>
  </si>
  <si>
    <t>Bareeq final payment</t>
  </si>
  <si>
    <t>Curtain Alsadd house</t>
  </si>
  <si>
    <t>Ticket purchase anwar</t>
  </si>
  <si>
    <t>Rental commission NOV-25</t>
  </si>
  <si>
    <t>Lock change alsadd house</t>
  </si>
  <si>
    <t>Shakeel farmer salary</t>
  </si>
  <si>
    <t>Nama water payment jabal farm</t>
  </si>
  <si>
    <t>Noor worker bonus</t>
  </si>
  <si>
    <t>Fixing electrical rooftop problem</t>
  </si>
  <si>
    <t>Water common meter</t>
  </si>
  <si>
    <t>IPAD Ali</t>
  </si>
  <si>
    <t>Leakage repair bousher</t>
  </si>
  <si>
    <t>Alsadd house Meter 1</t>
  </si>
  <si>
    <t>Alsadd house Meter 2</t>
  </si>
  <si>
    <t>Alsadd house Meter 3</t>
  </si>
  <si>
    <t>Elevator annual maintnance contract</t>
  </si>
  <si>
    <t>Stove cleaning alsadd house</t>
  </si>
  <si>
    <t>lights purchase alsadd house</t>
  </si>
  <si>
    <t>Alsadd house door fixing</t>
  </si>
  <si>
    <t>Almuhallab Bird Purchase</t>
  </si>
  <si>
    <t>Almuhallab shakeel payment</t>
  </si>
  <si>
    <t>Sewage cleaning aljabal shops</t>
  </si>
  <si>
    <t>Electricity common meter</t>
  </si>
  <si>
    <t>Electricity fixing building common area</t>
  </si>
  <si>
    <t>Nama water common meter payment</t>
  </si>
  <si>
    <t>Alsadd house electricity bill 1</t>
  </si>
  <si>
    <t>Alsadd house electricity bill 2</t>
  </si>
  <si>
    <t>Alsadd house electricity bill 3</t>
  </si>
  <si>
    <t>Bousher common meter electricity</t>
  </si>
  <si>
    <t>Leakage fixing bousher</t>
  </si>
  <si>
    <t>Payment to owner</t>
  </si>
  <si>
    <t>Nakheel Nabat</t>
  </si>
  <si>
    <t>Mum visa charges</t>
  </si>
  <si>
    <t>Fixing items farm</t>
  </si>
  <si>
    <t>Ramadhan decorations</t>
  </si>
  <si>
    <t>heather replacement jabal apartments</t>
  </si>
  <si>
    <t>bareeq apartment contract extention</t>
  </si>
  <si>
    <t>paint and repair items bousher</t>
  </si>
  <si>
    <t>AC unit cleaning muscat hills</t>
  </si>
  <si>
    <t>payment to owner</t>
  </si>
  <si>
    <t>fridge fixing bousher</t>
  </si>
  <si>
    <t>AC muscat hills fixing</t>
  </si>
  <si>
    <t>Glass window fixing bousher</t>
  </si>
  <si>
    <t xml:space="preserve">Internet bill 2 months </t>
  </si>
  <si>
    <t>AC replacement alsadd house</t>
  </si>
  <si>
    <t>Glass replacement window bousher</t>
  </si>
  <si>
    <t>Water Heater fixing alsadd house</t>
  </si>
  <si>
    <t xml:space="preserve">Paid to owner </t>
  </si>
  <si>
    <t>LED Lights purchase bousher</t>
  </si>
  <si>
    <t xml:space="preserve">Battery change bently </t>
  </si>
  <si>
    <t xml:space="preserve">Jabal event expenses </t>
  </si>
  <si>
    <t>Bently car renewal</t>
  </si>
  <si>
    <t xml:space="preserve">Porsche car renewal </t>
  </si>
  <si>
    <t xml:space="preserve">Car insurance </t>
  </si>
  <si>
    <t xml:space="preserve">Car traffic fines </t>
  </si>
  <si>
    <t xml:space="preserve">Anwar Medical </t>
  </si>
  <si>
    <t xml:space="preserve">Lexus car insurance </t>
  </si>
  <si>
    <t>Contract register</t>
  </si>
  <si>
    <t>Gate fixing alsadd house</t>
  </si>
  <si>
    <t>water heater replacement bousher</t>
  </si>
  <si>
    <t xml:space="preserve">Sent amount to owner </t>
  </si>
  <si>
    <t xml:space="preserve">Car repair compensation </t>
  </si>
  <si>
    <t>Exhaust fan replacement</t>
  </si>
  <si>
    <t>Window repair bareeq</t>
  </si>
  <si>
    <t xml:space="preserve">Water leakage showroom fixing </t>
  </si>
  <si>
    <t>Glass door repair</t>
  </si>
  <si>
    <t xml:space="preserve">Pest control </t>
  </si>
  <si>
    <t xml:space="preserve">Electricity repair </t>
  </si>
  <si>
    <t xml:space="preserve">Paint purchase </t>
  </si>
  <si>
    <t xml:space="preserve">Muscat hills repair items </t>
  </si>
  <si>
    <t>BANK STATEMENT vs EXPENSE RECORD — RECONCILIATION</t>
  </si>
  <si>
    <t>SECTION A: MATCHED EXPENSES (Excel ↔ Bank Statement)</t>
  </si>
  <si>
    <t>#</t>
  </si>
  <si>
    <t>Excel Description</t>
  </si>
  <si>
    <t>Excel Amount (OMR)</t>
  </si>
  <si>
    <t>Bank Narration</t>
  </si>
  <si>
    <t>Bank Amount (OMR)</t>
  </si>
  <si>
    <t>Difference</t>
  </si>
  <si>
    <t>Status</t>
  </si>
  <si>
    <t>ACH Direct Credit — Empire production (01/04)</t>
  </si>
  <si>
    <t>✅ Exact</t>
  </si>
  <si>
    <t>Municipality 3% contract (Row 475)</t>
  </si>
  <si>
    <t>POS Muscat Municipality ISU (05/04)</t>
  </si>
  <si>
    <t>POS NAMA ELECTRICITY SUPPLY (05/04)</t>
  </si>
  <si>
    <t>Transfer ANWAR HOSSAIN BELAL HOSSAIN (01/04)</t>
  </si>
  <si>
    <t>Car repair compensation</t>
  </si>
  <si>
    <t>Wallet Trx BEHZAD (02/04): 500 + 101</t>
  </si>
  <si>
    <t>Contract register (Row 492)</t>
  </si>
  <si>
    <t>POS Muscat Municipality ISU (13/04)</t>
  </si>
  <si>
    <t>Alsadd electricity (3 bills: 55+23.37+61.15)</t>
  </si>
  <si>
    <t>POS NAMA SUPPLY (07/04)</t>
  </si>
  <si>
    <t>MATCHED TOTAL</t>
  </si>
  <si>
    <t>SECTION B: EXCEL EXPENSES NOT MATCHED IN BANK STATEMENT</t>
  </si>
  <si>
    <t>Possible Explanation</t>
  </si>
  <si>
    <t>Dated NOV-25 but booked in April; no matching bank payment</t>
  </si>
  <si>
    <t>❌ Not found</t>
  </si>
  <si>
    <t>No matching transfer in bank statement</t>
  </si>
  <si>
    <t>❌ Partial</t>
  </si>
  <si>
    <t>Municipality 3% contract (Row 481)</t>
  </si>
  <si>
    <t>No matching payment for this amount (only 51.4 and 80.2 found)</t>
  </si>
  <si>
    <t>Repair &amp; Maintenance</t>
  </si>
  <si>
    <t>Likely cash payment — no matching POS/transfer</t>
  </si>
  <si>
    <t>⚠️ Cash?</t>
  </si>
  <si>
    <t>Paint &amp; repair items bousher</t>
  </si>
  <si>
    <t>Water leakage showroom fixing</t>
  </si>
  <si>
    <t>Large amount with no matching bank transaction</t>
  </si>
  <si>
    <t>Paint items (Apr 5)</t>
  </si>
  <si>
    <t>Pest control</t>
  </si>
  <si>
    <t>Electricity repair</t>
  </si>
  <si>
    <t>Sent amount to owner</t>
  </si>
  <si>
    <t>No self-transfer for exactly 1,370; nearest: 1,143.885 (13/04)</t>
  </si>
  <si>
    <t>Paint purchase</t>
  </si>
  <si>
    <t>Muscat hills repair items</t>
  </si>
  <si>
    <t>UNMATCHED TOTAL</t>
  </si>
  <si>
    <t>SECTION C: BANK STATEMENT DEBITS NOT RECORDED IN APRIL EXPENSES</t>
  </si>
  <si>
    <t>Amount (OMR)</t>
  </si>
  <si>
    <t>Possible Category</t>
  </si>
  <si>
    <t>Type</t>
  </si>
  <si>
    <t>Business — Advertising</t>
  </si>
  <si>
    <t>Business?</t>
  </si>
  <si>
    <t>ZAPIER.COM/CHARGE</t>
  </si>
  <si>
    <t>Business — Software subscription</t>
  </si>
  <si>
    <t>SLACK subscription</t>
  </si>
  <si>
    <t>CANVA subscription</t>
  </si>
  <si>
    <t>14/04</t>
  </si>
  <si>
    <t>NOTION LABS, INC.</t>
  </si>
  <si>
    <t>NWS Individual (3 charges: 20+10+10)</t>
  </si>
  <si>
    <t>01/04, 12/04, 12/04</t>
  </si>
  <si>
    <t>Business — Media subscription</t>
  </si>
  <si>
    <t>Salary top-up or expense reimbursement?</t>
  </si>
  <si>
    <t>Salary?</t>
  </si>
  <si>
    <t>MPC WASH (2 payments: 35+90.5)</t>
  </si>
  <si>
    <t>08/04, 12/04</t>
  </si>
  <si>
    <t>Business — Vehicle/property maintenance?</t>
  </si>
  <si>
    <t>ACH Sama hotel</t>
  </si>
  <si>
    <t>Unknown — outgoing payment to hotel</t>
  </si>
  <si>
    <t>Unknown</t>
  </si>
  <si>
    <t>Business — paid to MPIRE but separate from row 470</t>
  </si>
  <si>
    <t>MPIRE?</t>
  </si>
  <si>
    <t>Personal — iCloud/Apple subscription</t>
  </si>
  <si>
    <t>Personal</t>
  </si>
  <si>
    <t>RAILWAY (Steam/online service)</t>
  </si>
  <si>
    <t>13/04</t>
  </si>
  <si>
    <t>Personal — online purchase</t>
  </si>
  <si>
    <t>SECTION C TOTAL</t>
  </si>
  <si>
    <t>SECTION D: PAID BY OWNER TO MPIRE — RECONCILIATION</t>
  </si>
  <si>
    <t>Item</t>
  </si>
  <si>
    <t>Source</t>
  </si>
  <si>
    <t>Excel: Paid by owner to MPIRE (Row 469)</t>
  </si>
  <si>
    <t>Expenses record</t>
  </si>
  <si>
    <t>Bank: ACH Empire production (01/04)</t>
  </si>
  <si>
    <t>Bank statement page 1</t>
  </si>
  <si>
    <t>Bank: ACH Empire production (06/04)</t>
  </si>
  <si>
    <t>Bank statement page 4</t>
  </si>
  <si>
    <t>Total confirmed in bank statement</t>
  </si>
  <si>
    <t>⚠️ SHORTFALL (unverified by bank)</t>
  </si>
  <si>
    <t>May have been paid from another account or method</t>
  </si>
  <si>
    <t>SECTION E: OVERALL SUMMARY</t>
  </si>
  <si>
    <t>Excel total April expenses (excl. pending/paid lines)</t>
  </si>
  <si>
    <t>✅ Matched to bank statement</t>
  </si>
  <si>
    <t>❌ Not matched to bank statement</t>
  </si>
  <si>
    <t>Bank statement debits NOT in April expenses (Sec. C)</t>
  </si>
  <si>
    <t>MPIRE payment shortfall</t>
  </si>
  <si>
    <t>KEY CONCERNS:</t>
  </si>
  <si>
    <t>3. 1,562.4 OMR rental commission labeled NOV-25 booked in April — timing issue?</t>
  </si>
  <si>
    <t xml:space="preserve">paint items </t>
  </si>
  <si>
    <t xml:space="preserve">petrol filling lexus </t>
  </si>
  <si>
    <t>car fixing + polishing</t>
  </si>
  <si>
    <t xml:space="preserve">Ipad purchase </t>
  </si>
  <si>
    <t xml:space="preserve">Bently expenses </t>
  </si>
  <si>
    <t>Anwar paint purchase</t>
  </si>
  <si>
    <t xml:space="preserve">Garbage disposal </t>
  </si>
  <si>
    <t xml:space="preserve">Transfer to owner </t>
  </si>
  <si>
    <t>Statement Period: 01/04/2026 – 29/04/2026  |  Account: OM730270301020333530027</t>
  </si>
  <si>
    <t>Petrol filling lexus</t>
  </si>
  <si>
    <t>POS STATION 12363519 (14/04)</t>
  </si>
  <si>
    <t>Car fixing + polishing</t>
  </si>
  <si>
    <t>Wallet Trx WAJID RASHEED (14/04)</t>
  </si>
  <si>
    <t>⚠️ Probable</t>
  </si>
  <si>
    <t>Ipad purchase</t>
  </si>
  <si>
    <t>POS HYPERMAX AL-ARAIMI (26/04)</t>
  </si>
  <si>
    <t>Transfer GULF ENVIRONMENTAL SERVICES (21/04)</t>
  </si>
  <si>
    <t>Multiple wallet transfers in bank but don’t total 560</t>
  </si>
  <si>
    <t>Sent amount to owner (18/04)</t>
  </si>
  <si>
    <t>Muscat hills repair items (Row 493 + 498)</t>
  </si>
  <si>
    <t>Water heater replacement bousher (Row 494)</t>
  </si>
  <si>
    <t>No matching bank payment found</t>
  </si>
  <si>
    <t>Paint items (Row 495)</t>
  </si>
  <si>
    <t>Bently expenses (Row 500)</t>
  </si>
  <si>
    <t>No matching debit (1,400 ACH on 21/04 is INWARD credit)</t>
  </si>
  <si>
    <t>Anwar paint purchase (Row 501)</t>
  </si>
  <si>
    <t>Transfer to owner (Row 503)</t>
  </si>
  <si>
    <t>No matching self-transfer for exactly 2,960 in bank statement</t>
  </si>
  <si>
    <t>Date(s)</t>
  </si>
  <si>
    <t>Facebook Ads (4 payments: 207.16+207.20+207.20+0.42)</t>
  </si>
  <si>
    <t>02/04, 06/04, 12/04, 21/04</t>
  </si>
  <si>
    <t>VERCEL INC.</t>
  </si>
  <si>
    <t>15/04</t>
  </si>
  <si>
    <t>Business — Software/hosting</t>
  </si>
  <si>
    <t>STAMPS-MAKER.COM</t>
  </si>
  <si>
    <t>16/04</t>
  </si>
  <si>
    <t>Business — Online tool</t>
  </si>
  <si>
    <t>MYQRCODE.COM</t>
  </si>
  <si>
    <t>27/04</t>
  </si>
  <si>
    <t>CLAUDE.AI SUBSCRIPTION</t>
  </si>
  <si>
    <t>Transfer ANWAR HOSSAIN (93.030 + 4.000 + 24 + 20)</t>
  </si>
  <si>
    <t>14/04, 19/04, 21/04</t>
  </si>
  <si>
    <t>ACH Empire production (06/04)</t>
  </si>
  <si>
    <t>APPLE.COM/BILL (3 charges: 0.39+5.33+5.33)</t>
  </si>
  <si>
    <t>05/04, 27/04, 29/04</t>
  </si>
  <si>
    <t>WANG AND ZHANG AND LIU (POS Mawaleh)</t>
  </si>
  <si>
    <t>Large unrecorded debit — needs identification</t>
  </si>
  <si>
    <t>Transfer AHMED HARITH N</t>
  </si>
  <si>
    <t>Self-transfer / outflow to owner — not in expenses</t>
  </si>
  <si>
    <t>DNH (POS, USD-denominated)</t>
  </si>
  <si>
    <t>Unknown — international card charge</t>
  </si>
  <si>
    <t>SWEET SALT (Al Ghubra + Airport, 2 charges)</t>
  </si>
  <si>
    <t>08/04, 16/04</t>
  </si>
  <si>
    <t>Personal — dining</t>
  </si>
  <si>
    <t>DANUBE HOME</t>
  </si>
  <si>
    <t>26/04</t>
  </si>
  <si>
    <t>Large home/furniture purchase — not in expenses</t>
  </si>
  <si>
    <t>Wallet WALID MUSTAPHA MAKASUD (500 + 200)</t>
  </si>
  <si>
    <t>Salary or contractor payment?</t>
  </si>
  <si>
    <t>Transfer AL MUHALAB AHME (220 + 700)</t>
  </si>
  <si>
    <t>01/04, 26/04</t>
  </si>
  <si>
    <t>Self/family transfer — not in expenses</t>
  </si>
  <si>
    <t>OPENSOOQ (2 charges: 43.27 × 2)</t>
  </si>
  <si>
    <t>28/04</t>
  </si>
  <si>
    <t>Business — listing/advertising</t>
  </si>
  <si>
    <t>Misc retail (LULU, IKEA, STATION, etc.)</t>
  </si>
  <si>
    <t>Various</t>
  </si>
  <si>
    <t>Aggregated small POS not in expenses (LULU 5.61, IKEA 19.19, STATION 26.6+28.1+15.1+10+14.3+10.0+10.0+30.1, MUSCAT MUNI 51.4 already matched—excluded; HYPERMAX matched—excl.)</t>
  </si>
  <si>
    <t>Mixed</t>
  </si>
  <si>
    <t>1. Only 24% of April expenses are verified by bank statement (was 35% for first half only)</t>
  </si>
  <si>
    <t>2. ⚠️ 3,880 OMR "Paid by owner to MPIRE" shortfall — needs investigation</t>
  </si>
  <si>
    <t>4. Large unverified items: Water leakage 550, Pest control 350, Bently expenses 1,400, Transfer to owner 2,960, Sent to owner 1,370</t>
  </si>
  <si>
    <t>5. Software subscriptions (FB Ads 622, Zapier, Slack, Canva, Notion, Vercel, Claude.AI, etc.) totalling ~777 OMR not in expense record</t>
  </si>
  <si>
    <t>6. Large unrecorded debits in bank: DANUBE HOME 807, WANG/ZHANG 430, Transfer AHMED HARITH 1,000, AL MUHALAB 920</t>
  </si>
  <si>
    <t>7. No expenses recorded in Excel for 21–29 April despite ~3,500 OMR of bank debits in this window</t>
  </si>
  <si>
    <t>SECTION F: RENTAL RECEIPTS (INCOMING TRANSFERS 150–320 OMR)</t>
  </si>
  <si>
    <t>Wallet Trx Cr BDAF632445125 BM</t>
  </si>
  <si>
    <t>Anonymous wallet</t>
  </si>
  <si>
    <t>Likely rent</t>
  </si>
  <si>
    <t>Transfer GOLNAZ MOHAMMAD SADEGH</t>
  </si>
  <si>
    <t>Named renter</t>
  </si>
  <si>
    <t>Rental</t>
  </si>
  <si>
    <t>Wallet Trx Cr MTHQ000167107793 BM</t>
  </si>
  <si>
    <t>Wallet Trx Cr BMCT013501311868 BM</t>
  </si>
  <si>
    <t>Wallet Trx Cr BMCT013502394742 BM</t>
  </si>
  <si>
    <t>Wallet Trx Cr BDAF633787521 BM</t>
  </si>
  <si>
    <t>Wallet Trx Cr BMCT013503436728 BM</t>
  </si>
  <si>
    <t>Wallet Trx Cr MTHQ000167508484 BM</t>
  </si>
  <si>
    <t>Transfer AMAL SAID OBEID AL KAABI</t>
  </si>
  <si>
    <t>Transfer flat 38 DIVINE GRACE BELARMINO</t>
  </si>
  <si>
    <t>Named renter (flat 38)</t>
  </si>
  <si>
    <t>Wallet Trx Cr BDAF636295641 BM</t>
  </si>
  <si>
    <t>Wallet Trx Cr BMCT013541485631 BM</t>
  </si>
  <si>
    <t>Wallet Trx Cr BMCT013551784009 BM</t>
  </si>
  <si>
    <t>Wallet Trx Cr BMCT013572714801 BM</t>
  </si>
  <si>
    <t>Wallet Trx Cr BMCT013579796485 BM</t>
  </si>
  <si>
    <t>Wallet Trx Cr NBOMMB0193607904 BM</t>
  </si>
  <si>
    <t>Wallet Trx Cr BSOH00030951915 BM</t>
  </si>
  <si>
    <t>13/04/2026</t>
  </si>
  <si>
    <t>15/04/2026</t>
  </si>
  <si>
    <t>Wallet Trx Cr BMCT013628333468 BM</t>
  </si>
  <si>
    <t>16/04/2026</t>
  </si>
  <si>
    <t>Wallet Trx Cr BMCT013638827423 BM</t>
  </si>
  <si>
    <t>19/04/2026</t>
  </si>
  <si>
    <t>Wallet Trx Cr SHRI00003793623 BM</t>
  </si>
  <si>
    <t>23/04/2026</t>
  </si>
  <si>
    <t>Wallet Trx Cr BMCT013708208711 BM</t>
  </si>
  <si>
    <t>Wallet Trx Cr OMAB026OIH9GEGMG BM</t>
  </si>
  <si>
    <t>Wallet Trx Cr BMCT013712464502 BM</t>
  </si>
  <si>
    <t>Wallet Trx Cr MTHQ000173772773 BM</t>
  </si>
  <si>
    <t>26/04/2026</t>
  </si>
  <si>
    <t>Wallet Trx Cr BMCT013732269967 BM</t>
  </si>
  <si>
    <t>27/04/2026</t>
  </si>
  <si>
    <t>Wallet Trx Cr BMCT013777301659 BM</t>
  </si>
  <si>
    <t>Wallet Trx Cr BMCT013778159686 BM</t>
  </si>
  <si>
    <t>28/04/2026</t>
  </si>
  <si>
    <t>Wallet Trx Cr BMCT013783466475 BM</t>
  </si>
  <si>
    <t>Wallet Trx Cr BMCT013784571460 BM</t>
  </si>
  <si>
    <t>TOTAL RENTAL RECEIPTS</t>
  </si>
  <si>
    <t xml:space="preserve">  Named transfers (4 renters)</t>
  </si>
  <si>
    <t>Recommend cross-checking against tenant roster to identify each payer.</t>
  </si>
  <si>
    <t>+</t>
  </si>
  <si>
    <t>Wallet Trx Cr BMCT013500427888 BM</t>
  </si>
  <si>
    <t>ACH Inward Payment /OM420250001043097742001 Others</t>
  </si>
  <si>
    <t>Anonymous ACH</t>
  </si>
  <si>
    <t xml:space="preserve">  Anonymous wallet/ACH credits (29 transactions)</t>
  </si>
  <si>
    <t>Note: Anonymous credits range 220–460 OMR — consistent with monthly rent across multiple unit sizes.</t>
  </si>
  <si>
    <t>Transfer FAJER ABDULLAH SAID ALRIYAMI (500 received; 40 overpaid)</t>
  </si>
  <si>
    <t>Rental — 40 OMR overpaid</t>
  </si>
  <si>
    <t>MPIRE FORWARDING RECONCILIATION (vs Expenses!G528)</t>
  </si>
  <si>
    <t>Receipts 01/04 – 14/04 (rows 99–118)</t>
  </si>
  <si>
    <t>Paid by owner to MPIRE (Expenses!G528)</t>
  </si>
  <si>
    <t>Difference (MPIRE − receipts)</t>
  </si>
  <si>
    <t>= 30 OMR extra (10 + 20 in MPIRE breakdown not in bank receipts — likely cash)</t>
  </si>
  <si>
    <t>Receipts 15/04 – 28/04 (rows 119–130) — NOT yet forwarded</t>
  </si>
  <si>
    <t>12 receipts pending forward to MPIRE</t>
  </si>
  <si>
    <t>Cross-check: Total receipts = forwarded + pending + 30 cash adj</t>
  </si>
  <si>
    <t>Should equal C131 (total rental receipts)</t>
  </si>
  <si>
    <t>SECTION G: APRIL EXPENSES RECONCILIATION (Expenses!Sr 470–503 vs bank statement)</t>
  </si>
  <si>
    <t>Sr#</t>
  </si>
  <si>
    <t>Bank Statement Match</t>
  </si>
  <si>
    <t>Bank Date</t>
  </si>
  <si>
    <t>Note</t>
  </si>
  <si>
    <t>ACH Direct Credit Empire production</t>
  </si>
  <si>
    <t>MATCH</t>
  </si>
  <si>
    <t>Composite (1359.9+40.5+162) — no single bank line</t>
  </si>
  <si>
    <t>NO MATCH</t>
  </si>
  <si>
    <t>Composite formula in E530</t>
  </si>
  <si>
    <t>Transfer ANWAR HOSSAIN BELAL HOSSAIN</t>
  </si>
  <si>
    <t>—</t>
  </si>
  <si>
    <t>CASH</t>
  </si>
  <si>
    <t>Likely paid in cash</t>
  </si>
  <si>
    <t>Composite =120+100+180+160; no bank match</t>
  </si>
  <si>
    <t>Municipality 3% contract reg</t>
  </si>
  <si>
    <t>POS Muscat Municipality</t>
  </si>
  <si>
    <t>Transfer AL MUHANNAD AHMED HARITH ALNABHANI</t>
  </si>
  <si>
    <t>Reimbursement transfer</t>
  </si>
  <si>
    <t>Paint/repair items bousher</t>
  </si>
  <si>
    <t>No exact 101.8 debit</t>
  </si>
  <si>
    <t>POS Nama Electricity Supply</t>
  </si>
  <si>
    <t>Alsadd electricity bill 1</t>
  </si>
  <si>
    <t>Alsadd electricity bill 2</t>
  </si>
  <si>
    <t>Alsadd electricity bill 3</t>
  </si>
  <si>
    <t>Paint items</t>
  </si>
  <si>
    <t>Possible: Wallet MUHAMMAD NOMAN 50 (09/04)</t>
  </si>
  <si>
    <t>POSSIBLE</t>
  </si>
  <si>
    <t>No 1370 OMR debit found</t>
  </si>
  <si>
    <t>Water heater replacement bousher</t>
  </si>
  <si>
    <t>POS Station 12363519</t>
  </si>
  <si>
    <t>14/04/2026</t>
  </si>
  <si>
    <t>Wallet WAJID RASHEED</t>
  </si>
  <si>
    <t>POS HYPERMAX AL-ARAIMI</t>
  </si>
  <si>
    <t>Bently expenses</t>
  </si>
  <si>
    <t>ACH Inward 1400 (CREDIT, not debit)</t>
  </si>
  <si>
    <t>21/04/2026</t>
  </si>
  <si>
    <t>INVERSE</t>
  </si>
  <si>
    <t>Same amount but as inflow — verify direction</t>
  </si>
  <si>
    <t>Transfer GULF ENVIRONMENTAL SERVICES</t>
  </si>
  <si>
    <t>Transfer to owner</t>
  </si>
  <si>
    <t>No 2960 OMR debit; verify</t>
  </si>
  <si>
    <t>TOTAL APRIL EXPENSES (Sr 470–503)</t>
  </si>
  <si>
    <t xml:space="preserve">  Matched to bank (10 items)</t>
  </si>
  <si>
    <t xml:space="preserve">  Cash payments (presumed) (19 items)</t>
  </si>
  <si>
    <t xml:space="preserve">  Possible / Inverse (2 items)</t>
  </si>
  <si>
    <t xml:space="preserve">  No match found (3 items)</t>
  </si>
  <si>
    <t>wifi and intercom repair</t>
  </si>
  <si>
    <t>Rental commission APRIL-25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</si>
</sst>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;;;"/>
    <numFmt numFmtId="166" formatCode="yyyy\-mm\-dd;@"/>
    <numFmt numFmtId="167" formatCode="#,##0.000"/>
    <numFmt numFmtId="168" formatCode="0.0%"/>
  </numFmts>
  <fonts count="2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sz val="10"/>
      <color rgb="FF555555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C55A11"/>
      <name val="Calibri"/>
      <family val="2"/>
      <scheme val="minor"/>
    </font>
    <font>
      <sz val="11"/>
      <color rgb="FFBF8F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BF8F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548235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548235"/>
      <name val="Calibri"/>
      <family val="2"/>
      <scheme val="minor"/>
    </font>
    <font>
      <sz val="11"/>
      <color rgb="FF7F7F7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7F7F7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E2D1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Protection="1">
      <protection hidden="1"/>
    </xf>
    <xf numFmtId="166" fontId="0" fillId="0" borderId="0" xfId="0" applyNumberFormat="1"/>
    <xf numFmtId="166" fontId="0" fillId="0" borderId="0" xfId="0" applyNumberFormat="1" applyProtection="1">
      <protection hidden="1"/>
    </xf>
    <xf numFmtId="0" fontId="0" fillId="0" borderId="0" xfId="0" applyProtection="1">
      <protection hidden="1"/>
    </xf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0" fillId="2" borderId="0" xfId="0" applyFill="1"/>
    <xf numFmtId="0" fontId="9" fillId="4" borderId="0" xfId="0" applyFont="1" applyFill="1"/>
    <xf numFmtId="0" fontId="0" fillId="4" borderId="0" xfId="0" applyFill="1"/>
    <xf numFmtId="0" fontId="12" fillId="6" borderId="0" xfId="0" applyFont="1" applyFill="1"/>
    <xf numFmtId="0" fontId="0" fillId="6" borderId="0" xfId="0" applyFill="1"/>
    <xf numFmtId="0" fontId="13" fillId="8" borderId="0" xfId="0" applyFont="1" applyFill="1"/>
    <xf numFmtId="0" fontId="0" fillId="8" borderId="0" xfId="0" applyFill="1"/>
    <xf numFmtId="0" fontId="0" fillId="9" borderId="0" xfId="0" applyFill="1"/>
    <xf numFmtId="0" fontId="14" fillId="0" borderId="0" xfId="0" applyFont="1"/>
    <xf numFmtId="0" fontId="0" fillId="10" borderId="0" xfId="0" applyFill="1"/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right"/>
    </xf>
    <xf numFmtId="0" fontId="0" fillId="0" borderId="0" xfId="0" applyAlignment="1">
      <alignment horizontal="center"/>
    </xf>
    <xf numFmtId="167" fontId="0" fillId="0" borderId="0" xfId="0" applyNumberForma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/>
    <xf numFmtId="167" fontId="3" fillId="0" borderId="0" xfId="0" applyNumberFormat="1" applyFont="1"/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right"/>
    </xf>
    <xf numFmtId="0" fontId="0" fillId="5" borderId="0" xfId="0" applyFill="1"/>
    <xf numFmtId="0" fontId="2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7" borderId="0" xfId="0" applyFont="1" applyFill="1" applyAlignment="1">
      <alignment horizontal="right"/>
    </xf>
    <xf numFmtId="0" fontId="0" fillId="7" borderId="0" xfId="0" applyFill="1"/>
    <xf numFmtId="0" fontId="11" fillId="0" borderId="0" xfId="0" applyFont="1" applyAlignment="1">
      <alignment horizontal="center"/>
    </xf>
    <xf numFmtId="16" fontId="0" fillId="0" borderId="0" xfId="0" applyNumberFormat="1"/>
    <xf numFmtId="0" fontId="10" fillId="0" borderId="0" xfId="0" applyFont="1"/>
    <xf numFmtId="0" fontId="7" fillId="9" borderId="0" xfId="0" applyFont="1" applyFill="1"/>
    <xf numFmtId="0" fontId="7" fillId="9" borderId="0" xfId="0" applyFont="1" applyFill="1" applyAlignment="1">
      <alignment horizontal="right"/>
    </xf>
    <xf numFmtId="167" fontId="2" fillId="0" borderId="0" xfId="0" applyNumberFormat="1" applyFont="1"/>
    <xf numFmtId="167" fontId="14" fillId="0" borderId="0" xfId="0" applyNumberFormat="1" applyFont="1"/>
    <xf numFmtId="0" fontId="7" fillId="10" borderId="0" xfId="0" applyFont="1" applyFill="1"/>
    <xf numFmtId="167" fontId="8" fillId="0" borderId="0" xfId="0" applyNumberFormat="1" applyFont="1"/>
    <xf numFmtId="168" fontId="8" fillId="0" borderId="0" xfId="0" applyNumberFormat="1" applyFont="1"/>
    <xf numFmtId="168" fontId="2" fillId="0" borderId="0" xfId="0" applyNumberFormat="1" applyFont="1"/>
    <xf numFmtId="0" fontId="7" fillId="11" borderId="0" xfId="0" applyFont="1" applyFill="1"/>
    <xf numFmtId="0" fontId="0" fillId="11" borderId="0" xfId="0" applyFill="1"/>
    <xf numFmtId="0" fontId="7" fillId="12" borderId="0" xfId="0" applyFont="1" applyFill="1"/>
    <xf numFmtId="0" fontId="7" fillId="12" borderId="0" xfId="0" applyFont="1" applyFill="1" applyAlignment="1">
      <alignment horizontal="center"/>
    </xf>
    <xf numFmtId="0" fontId="7" fillId="12" borderId="0" xfId="0" applyFont="1" applyFill="1" applyAlignment="1">
      <alignment horizontal="right"/>
    </xf>
    <xf numFmtId="0" fontId="0" fillId="12" borderId="0" xfId="0" applyFill="1"/>
    <xf numFmtId="1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center"/>
    </xf>
    <xf numFmtId="0" fontId="15" fillId="0" borderId="0" xfId="0" quotePrefix="1" applyFont="1"/>
    <xf numFmtId="0" fontId="20" fillId="0" borderId="0" xfId="0" applyFont="1"/>
    <xf numFmtId="0" fontId="21" fillId="0" borderId="0" xfId="0" applyFont="1"/>
    <xf numFmtId="167" fontId="20" fillId="0" borderId="0" xfId="0" applyNumberFormat="1" applyFont="1"/>
    <xf numFmtId="0" fontId="7" fillId="13" borderId="0" xfId="0" applyFont="1" applyFill="1"/>
    <xf numFmtId="0" fontId="0" fillId="13" borderId="0" xfId="0" applyFill="1"/>
    <xf numFmtId="0" fontId="7" fillId="14" borderId="0" xfId="0" applyFont="1" applyFill="1"/>
    <xf numFmtId="0" fontId="7" fillId="14" borderId="0" xfId="0" applyFont="1" applyFill="1" applyAlignment="1">
      <alignment horizontal="center"/>
    </xf>
    <xf numFmtId="0" fontId="7" fillId="14" borderId="0" xfId="0" applyFont="1" applyFill="1" applyAlignment="1">
      <alignment horizontal="right"/>
    </xf>
    <xf numFmtId="0" fontId="20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15" borderId="0" xfId="0" applyFont="1" applyFill="1"/>
    <xf numFmtId="167" fontId="3" fillId="15" borderId="0" xfId="0" applyNumberFormat="1" applyFont="1" applyFill="1"/>
    <xf numFmtId="167" fontId="16" fillId="0" borderId="0" xfId="0" applyNumberFormat="1" applyFont="1"/>
    <xf numFmtId="167" fontId="19" fillId="0" borderId="0" xfId="0" applyNumberFormat="1" applyFont="1"/>
    <xf numFmtId="167" fontId="10" fillId="0" borderId="0" xfId="0" applyNumberFormat="1" applyFont="1"/>
    <xf numFmtId="167" fontId="21" fillId="0" borderId="0" xfId="0" applyNumberFormat="1" applyFont="1"/>
  </cellXfs>
  <cellStyles count="1">
    <cellStyle name="Normal" xfId="0" builtinId="0"/>
  </cellStyles>
  <dxfs count="4">
    <dxf>
      <numFmt numFmtId="164" formatCode="0.000"/>
    </dxf>
    <dxf>
      <numFmt numFmtId="164" formatCode="0.000"/>
    </dxf>
    <dxf>
      <numFmt numFmtId="169" formatCode="dd/mm/yyyy"/>
    </dxf>
    <dxf>
      <numFmt numFmtId="166" formatCode="yyyy\-mm\-dd;@"/>
    </dxf>
  </dxfs>
  <tableStyles count="0" defaultTableStyle="TableStyleMedium2" defaultPivotStyle="PivotStyleLight16"/>
  <colors>
    <mruColors>
      <color rgb="FFD9E1F2"/>
      <color rgb="FFBDD7EE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Expenses" displayName="Expenses" ref="A1:G630" totalsRowShown="0">
  <autoFilter ref="A1:G630" xr:uid="{00000000-0009-0000-0100-000006000000}"/>
  <tableColumns count="7">
    <tableColumn id="1" xr3:uid="{00000000-0010-0000-0000-000001000000}" name="Sr no.#"/>
    <tableColumn id="2" xr3:uid="{00000000-0010-0000-0000-000002000000}" name="Date" dataDxfId="3" totalsRowDxfId="2"/>
    <tableColumn id="3" xr3:uid="{00000000-0010-0000-0000-000003000000}" name="Description"/>
    <tableColumn id="4" xr3:uid="{00000000-0010-0000-0000-000004000000}" name="Category"/>
    <tableColumn id="5" xr3:uid="{00000000-0010-0000-0000-000005000000}" name="Amount"/>
    <tableColumn id="6" xr3:uid="{00000000-0010-0000-0000-000006000000}" name="Pending Amount"/>
    <tableColumn id="7" xr3:uid="{00000000-0010-0000-0000-000007000000}" name="Paid by owner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31927D-7BE1-45C3-9249-60EB3FAF959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7cd4ebd-ca0c-4c95-ae65-0f90544089a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0"/>
  <sheetViews>
    <sheetView tabSelected="1" topLeftCell="A542" workbookViewId="0">
      <selection activeCell="G566" sqref="G566"/>
    </sheetView>
  </sheetViews>
  <sheetFormatPr defaultRowHeight="14.25" x14ac:dyDescent="0.45"/>
  <cols>
    <col min="1" max="1" width="8.1328125" customWidth="1"/>
    <col min="2" max="2" width="10.73046875" style="4" bestFit="1" customWidth="1"/>
    <col min="3" max="3" width="41.86328125" bestFit="1" customWidth="1"/>
    <col min="4" max="4" width="22.3984375" bestFit="1" customWidth="1"/>
    <col min="5" max="5" width="9.1328125" customWidth="1"/>
    <col min="6" max="6" width="17.3984375" bestFit="1" customWidth="1"/>
    <col min="7" max="7" width="15.1328125" bestFit="1" customWidth="1"/>
  </cols>
  <sheetData>
    <row r="1" spans="1:7" x14ac:dyDescent="0.45">
      <c r="A1" t="s">
        <v>19</v>
      </c>
      <c r="B1" s="4" t="s">
        <v>1</v>
      </c>
      <c r="C1" t="s">
        <v>2</v>
      </c>
      <c r="D1" t="s">
        <v>79</v>
      </c>
      <c r="E1" t="s">
        <v>0</v>
      </c>
      <c r="F1" t="s">
        <v>92</v>
      </c>
      <c r="G1" t="s">
        <v>90</v>
      </c>
    </row>
    <row r="2" spans="1:7" x14ac:dyDescent="0.45">
      <c r="A2">
        <v>1</v>
      </c>
      <c r="B2" s="4">
        <v>45504</v>
      </c>
      <c r="C2" t="s">
        <v>3</v>
      </c>
      <c r="D2" t="s">
        <v>80</v>
      </c>
      <c r="E2">
        <v>27</v>
      </c>
      <c r="G2" s="1"/>
    </row>
    <row r="3" spans="1:7" x14ac:dyDescent="0.45">
      <c r="A3">
        <v>2</v>
      </c>
      <c r="B3" s="4">
        <v>45504</v>
      </c>
      <c r="C3" t="s">
        <v>4</v>
      </c>
      <c r="D3" t="s">
        <v>80</v>
      </c>
      <c r="E3">
        <v>50</v>
      </c>
      <c r="G3" s="1"/>
    </row>
    <row r="4" spans="1:7" x14ac:dyDescent="0.45">
      <c r="A4">
        <v>3</v>
      </c>
      <c r="B4" s="4">
        <v>45505</v>
      </c>
      <c r="C4" t="s">
        <v>5</v>
      </c>
      <c r="D4" t="s">
        <v>27</v>
      </c>
      <c r="E4">
        <v>150</v>
      </c>
      <c r="G4" s="1"/>
    </row>
    <row r="5" spans="1:7" x14ac:dyDescent="0.45">
      <c r="A5">
        <v>4</v>
      </c>
      <c r="B5" s="4">
        <v>45505</v>
      </c>
      <c r="C5" t="s">
        <v>37</v>
      </c>
      <c r="D5" t="s">
        <v>85</v>
      </c>
      <c r="E5">
        <v>1500</v>
      </c>
      <c r="G5" s="1"/>
    </row>
    <row r="6" spans="1:7" x14ac:dyDescent="0.45">
      <c r="A6">
        <v>5</v>
      </c>
      <c r="B6" s="4">
        <v>45507</v>
      </c>
      <c r="C6" t="s">
        <v>17</v>
      </c>
      <c r="D6" t="s">
        <v>80</v>
      </c>
      <c r="E6">
        <v>200</v>
      </c>
      <c r="G6" s="1"/>
    </row>
    <row r="7" spans="1:7" x14ac:dyDescent="0.45">
      <c r="A7">
        <v>6</v>
      </c>
      <c r="B7" s="4">
        <v>45512</v>
      </c>
      <c r="C7" t="s">
        <v>6</v>
      </c>
      <c r="D7" t="s">
        <v>26</v>
      </c>
      <c r="E7">
        <v>30</v>
      </c>
      <c r="G7" s="1"/>
    </row>
    <row r="8" spans="1:7" x14ac:dyDescent="0.45">
      <c r="A8">
        <v>7</v>
      </c>
      <c r="B8" s="4">
        <v>45515</v>
      </c>
      <c r="C8" t="s">
        <v>7</v>
      </c>
      <c r="D8" t="s">
        <v>80</v>
      </c>
      <c r="E8">
        <v>400</v>
      </c>
      <c r="G8" s="1"/>
    </row>
    <row r="9" spans="1:7" x14ac:dyDescent="0.45">
      <c r="A9">
        <v>8</v>
      </c>
      <c r="B9" s="4">
        <v>45517</v>
      </c>
      <c r="C9" t="s">
        <v>4</v>
      </c>
      <c r="D9" t="s">
        <v>80</v>
      </c>
      <c r="E9">
        <v>35</v>
      </c>
      <c r="G9" s="1"/>
    </row>
    <row r="10" spans="1:7" x14ac:dyDescent="0.45">
      <c r="A10">
        <v>9</v>
      </c>
      <c r="B10" s="4">
        <v>45519</v>
      </c>
      <c r="C10" t="s">
        <v>4</v>
      </c>
      <c r="D10" t="s">
        <v>80</v>
      </c>
      <c r="E10">
        <v>35</v>
      </c>
      <c r="G10" s="1"/>
    </row>
    <row r="11" spans="1:7" x14ac:dyDescent="0.45">
      <c r="A11">
        <v>10</v>
      </c>
      <c r="B11" s="4">
        <v>45519</v>
      </c>
      <c r="C11" t="s">
        <v>8</v>
      </c>
      <c r="D11" t="s">
        <v>80</v>
      </c>
      <c r="E11">
        <v>1575</v>
      </c>
      <c r="G11" s="1"/>
    </row>
    <row r="12" spans="1:7" x14ac:dyDescent="0.45">
      <c r="A12">
        <v>11</v>
      </c>
      <c r="B12" s="4">
        <v>45519</v>
      </c>
      <c r="C12" t="s">
        <v>18</v>
      </c>
      <c r="D12" t="s">
        <v>85</v>
      </c>
      <c r="E12">
        <v>73.5</v>
      </c>
      <c r="G12" s="1"/>
    </row>
    <row r="13" spans="1:7" x14ac:dyDescent="0.45">
      <c r="A13">
        <v>12</v>
      </c>
      <c r="B13" s="4">
        <v>45522</v>
      </c>
      <c r="C13" t="s">
        <v>9</v>
      </c>
      <c r="D13" t="s">
        <v>81</v>
      </c>
      <c r="E13">
        <v>250</v>
      </c>
      <c r="G13" s="1"/>
    </row>
    <row r="14" spans="1:7" x14ac:dyDescent="0.45">
      <c r="A14">
        <v>13</v>
      </c>
      <c r="B14" s="4">
        <v>45522</v>
      </c>
      <c r="C14" t="s">
        <v>10</v>
      </c>
      <c r="D14" t="s">
        <v>80</v>
      </c>
      <c r="E14">
        <v>160</v>
      </c>
      <c r="G14" s="1"/>
    </row>
    <row r="15" spans="1:7" x14ac:dyDescent="0.45">
      <c r="A15">
        <v>14</v>
      </c>
      <c r="B15" s="4">
        <v>45523</v>
      </c>
      <c r="C15" t="s">
        <v>11</v>
      </c>
      <c r="D15" t="s">
        <v>80</v>
      </c>
      <c r="E15">
        <v>110</v>
      </c>
      <c r="G15" s="1"/>
    </row>
    <row r="16" spans="1:7" x14ac:dyDescent="0.45">
      <c r="A16">
        <v>15</v>
      </c>
      <c r="B16" s="4">
        <v>45525</v>
      </c>
      <c r="C16" t="s">
        <v>12</v>
      </c>
      <c r="D16" t="s">
        <v>80</v>
      </c>
      <c r="E16">
        <v>270</v>
      </c>
      <c r="G16" s="1"/>
    </row>
    <row r="17" spans="1:7" x14ac:dyDescent="0.45">
      <c r="A17">
        <v>16</v>
      </c>
      <c r="B17" s="4">
        <v>45525</v>
      </c>
      <c r="C17" t="s">
        <v>13</v>
      </c>
      <c r="D17" t="s">
        <v>80</v>
      </c>
      <c r="E17">
        <v>700</v>
      </c>
      <c r="G17" s="1"/>
    </row>
    <row r="18" spans="1:7" x14ac:dyDescent="0.45">
      <c r="A18">
        <v>17</v>
      </c>
      <c r="B18" s="4">
        <v>45525</v>
      </c>
      <c r="C18" t="s">
        <v>14</v>
      </c>
      <c r="D18" t="s">
        <v>80</v>
      </c>
      <c r="E18">
        <v>500</v>
      </c>
      <c r="G18" s="1"/>
    </row>
    <row r="19" spans="1:7" x14ac:dyDescent="0.45">
      <c r="A19">
        <v>18</v>
      </c>
      <c r="B19" s="4">
        <v>45525</v>
      </c>
      <c r="C19" t="s">
        <v>16</v>
      </c>
      <c r="D19" t="s">
        <v>81</v>
      </c>
      <c r="E19">
        <v>17.75</v>
      </c>
      <c r="G19" s="1"/>
    </row>
    <row r="20" spans="1:7" x14ac:dyDescent="0.45">
      <c r="A20">
        <v>19</v>
      </c>
      <c r="B20" s="4">
        <v>45526</v>
      </c>
      <c r="C20" t="s">
        <v>15</v>
      </c>
      <c r="D20" t="s">
        <v>26</v>
      </c>
      <c r="E20">
        <v>30</v>
      </c>
      <c r="G20" s="1"/>
    </row>
    <row r="21" spans="1:7" x14ac:dyDescent="0.45">
      <c r="A21">
        <v>20</v>
      </c>
      <c r="B21" s="4">
        <v>45528</v>
      </c>
      <c r="C21" t="s">
        <v>4</v>
      </c>
      <c r="D21" t="s">
        <v>26</v>
      </c>
      <c r="E21">
        <v>35</v>
      </c>
      <c r="G21" s="1"/>
    </row>
    <row r="22" spans="1:7" x14ac:dyDescent="0.45">
      <c r="A22">
        <v>21</v>
      </c>
      <c r="B22" s="4">
        <v>45528</v>
      </c>
      <c r="C22" t="s">
        <v>20</v>
      </c>
      <c r="D22" t="s">
        <v>81</v>
      </c>
      <c r="E22">
        <v>25</v>
      </c>
      <c r="G22" s="1"/>
    </row>
    <row r="23" spans="1:7" x14ac:dyDescent="0.45">
      <c r="A23">
        <v>22</v>
      </c>
      <c r="B23" s="4">
        <v>45529</v>
      </c>
      <c r="C23" t="s">
        <v>20</v>
      </c>
      <c r="D23" t="s">
        <v>81</v>
      </c>
      <c r="E23">
        <v>12.5</v>
      </c>
      <c r="G23" s="1"/>
    </row>
    <row r="24" spans="1:7" x14ac:dyDescent="0.45">
      <c r="A24">
        <v>23</v>
      </c>
      <c r="B24" s="4">
        <v>45529</v>
      </c>
      <c r="C24" t="s">
        <v>21</v>
      </c>
      <c r="D24" t="s">
        <v>26</v>
      </c>
      <c r="E24">
        <v>122.79</v>
      </c>
      <c r="G24" s="1"/>
    </row>
    <row r="25" spans="1:7" x14ac:dyDescent="0.45">
      <c r="A25">
        <v>24</v>
      </c>
      <c r="B25" s="4">
        <v>45531</v>
      </c>
      <c r="C25" t="s">
        <v>22</v>
      </c>
      <c r="D25" t="s">
        <v>81</v>
      </c>
      <c r="E25">
        <v>25</v>
      </c>
      <c r="G25" s="1"/>
    </row>
    <row r="26" spans="1:7" x14ac:dyDescent="0.45">
      <c r="A26">
        <v>25</v>
      </c>
      <c r="B26" s="4">
        <v>45532</v>
      </c>
      <c r="C26" t="s">
        <v>4</v>
      </c>
      <c r="D26" t="s">
        <v>80</v>
      </c>
      <c r="E26">
        <v>35</v>
      </c>
      <c r="G26" s="1"/>
    </row>
    <row r="27" spans="1:7" x14ac:dyDescent="0.45">
      <c r="A27">
        <v>26</v>
      </c>
      <c r="B27" s="4">
        <v>45533</v>
      </c>
      <c r="C27" t="s">
        <v>23</v>
      </c>
      <c r="D27" t="s">
        <v>82</v>
      </c>
      <c r="E27">
        <v>98.2</v>
      </c>
      <c r="G27" s="1"/>
    </row>
    <row r="28" spans="1:7" x14ac:dyDescent="0.45">
      <c r="A28">
        <v>27</v>
      </c>
      <c r="B28" s="4">
        <v>45533</v>
      </c>
      <c r="C28" t="s">
        <v>24</v>
      </c>
      <c r="D28" t="s">
        <v>26</v>
      </c>
      <c r="E28">
        <v>62.18</v>
      </c>
      <c r="G28" s="1"/>
    </row>
    <row r="29" spans="1:7" x14ac:dyDescent="0.45">
      <c r="A29">
        <v>28</v>
      </c>
      <c r="B29" s="4">
        <v>45533</v>
      </c>
      <c r="C29" t="s">
        <v>25</v>
      </c>
      <c r="D29" t="s">
        <v>26</v>
      </c>
      <c r="E29">
        <v>26.291</v>
      </c>
      <c r="G29" s="1"/>
    </row>
    <row r="30" spans="1:7" x14ac:dyDescent="0.45">
      <c r="A30">
        <v>29</v>
      </c>
      <c r="B30" s="4">
        <v>45535</v>
      </c>
      <c r="C30" t="s">
        <v>4</v>
      </c>
      <c r="D30" t="s">
        <v>80</v>
      </c>
      <c r="E30">
        <v>70</v>
      </c>
      <c r="G30" s="1"/>
    </row>
    <row r="31" spans="1:7" x14ac:dyDescent="0.45">
      <c r="A31">
        <v>30</v>
      </c>
      <c r="B31" s="4">
        <v>45536</v>
      </c>
      <c r="C31" t="s">
        <v>36</v>
      </c>
      <c r="D31" t="s">
        <v>83</v>
      </c>
      <c r="E31">
        <f>265.86</f>
        <v>265.86</v>
      </c>
      <c r="G31" s="1"/>
    </row>
    <row r="32" spans="1:7" s="2" customFormat="1" x14ac:dyDescent="0.45">
      <c r="A32">
        <v>31</v>
      </c>
      <c r="B32" s="4">
        <v>45536</v>
      </c>
      <c r="C32" t="s">
        <v>35</v>
      </c>
      <c r="D32" t="s">
        <v>84</v>
      </c>
      <c r="E32">
        <v>1500</v>
      </c>
      <c r="F32"/>
      <c r="G32"/>
    </row>
    <row r="33" spans="1:7" x14ac:dyDescent="0.45">
      <c r="A33">
        <v>32</v>
      </c>
      <c r="B33" s="4">
        <v>45538</v>
      </c>
      <c r="C33" t="s">
        <v>5</v>
      </c>
      <c r="D33" t="s">
        <v>27</v>
      </c>
      <c r="E33">
        <v>150</v>
      </c>
      <c r="G33" s="1"/>
    </row>
    <row r="34" spans="1:7" x14ac:dyDescent="0.45">
      <c r="A34">
        <v>33</v>
      </c>
      <c r="B34" s="4">
        <v>45538</v>
      </c>
      <c r="C34" t="s">
        <v>86</v>
      </c>
      <c r="D34" t="s">
        <v>81</v>
      </c>
      <c r="E34">
        <v>62.5</v>
      </c>
      <c r="G34" s="1"/>
    </row>
    <row r="35" spans="1:7" x14ac:dyDescent="0.45">
      <c r="A35">
        <v>34</v>
      </c>
      <c r="B35" s="4">
        <v>45540</v>
      </c>
      <c r="C35" t="s">
        <v>28</v>
      </c>
      <c r="D35" t="s">
        <v>81</v>
      </c>
      <c r="E35">
        <v>12.5</v>
      </c>
      <c r="G35" s="1"/>
    </row>
    <row r="36" spans="1:7" x14ac:dyDescent="0.45">
      <c r="A36">
        <v>35</v>
      </c>
      <c r="B36" s="4">
        <v>45540</v>
      </c>
      <c r="C36" t="s">
        <v>29</v>
      </c>
      <c r="D36" t="s">
        <v>26</v>
      </c>
      <c r="E36">
        <v>314.87</v>
      </c>
      <c r="G36" s="1"/>
    </row>
    <row r="37" spans="1:7" x14ac:dyDescent="0.45">
      <c r="A37">
        <v>36</v>
      </c>
      <c r="B37" s="4">
        <v>45542</v>
      </c>
      <c r="C37" t="s">
        <v>4</v>
      </c>
      <c r="D37" t="s">
        <v>80</v>
      </c>
      <c r="E37">
        <v>90</v>
      </c>
      <c r="G37" s="1"/>
    </row>
    <row r="38" spans="1:7" x14ac:dyDescent="0.45">
      <c r="A38">
        <v>37</v>
      </c>
      <c r="B38" s="4">
        <v>45543</v>
      </c>
      <c r="C38" t="s">
        <v>30</v>
      </c>
      <c r="D38" t="s">
        <v>26</v>
      </c>
      <c r="E38">
        <v>45.38</v>
      </c>
      <c r="G38" s="1"/>
    </row>
    <row r="39" spans="1:7" x14ac:dyDescent="0.45">
      <c r="A39">
        <v>38</v>
      </c>
      <c r="B39" s="4">
        <v>45544</v>
      </c>
      <c r="C39" t="s">
        <v>31</v>
      </c>
      <c r="D39" t="s">
        <v>81</v>
      </c>
      <c r="E39">
        <v>56.25</v>
      </c>
      <c r="G39" s="1"/>
    </row>
    <row r="40" spans="1:7" x14ac:dyDescent="0.45">
      <c r="A40">
        <v>39</v>
      </c>
      <c r="B40" s="4">
        <v>45544</v>
      </c>
      <c r="C40" t="s">
        <v>32</v>
      </c>
      <c r="D40" t="s">
        <v>80</v>
      </c>
      <c r="E40">
        <v>45</v>
      </c>
      <c r="G40" s="1"/>
    </row>
    <row r="41" spans="1:7" x14ac:dyDescent="0.45">
      <c r="A41">
        <v>40</v>
      </c>
      <c r="B41" s="4">
        <v>45545</v>
      </c>
      <c r="C41" t="s">
        <v>33</v>
      </c>
      <c r="D41" t="s">
        <v>80</v>
      </c>
      <c r="E41">
        <v>195</v>
      </c>
      <c r="G41" s="1"/>
    </row>
    <row r="42" spans="1:7" x14ac:dyDescent="0.45">
      <c r="A42">
        <v>41</v>
      </c>
      <c r="B42" s="4">
        <v>45547</v>
      </c>
      <c r="C42" t="s">
        <v>23</v>
      </c>
      <c r="D42" t="s">
        <v>82</v>
      </c>
      <c r="E42">
        <v>978.4</v>
      </c>
      <c r="G42" s="1"/>
    </row>
    <row r="43" spans="1:7" x14ac:dyDescent="0.45">
      <c r="A43">
        <v>42</v>
      </c>
      <c r="B43" s="4">
        <v>45536</v>
      </c>
      <c r="C43" t="s">
        <v>34</v>
      </c>
      <c r="D43" t="s">
        <v>85</v>
      </c>
      <c r="E43">
        <v>269.03800000000001</v>
      </c>
      <c r="G43" s="1"/>
    </row>
    <row r="44" spans="1:7" x14ac:dyDescent="0.45">
      <c r="A44">
        <v>43</v>
      </c>
      <c r="B44" s="4">
        <v>45635</v>
      </c>
      <c r="C44" t="s">
        <v>38</v>
      </c>
      <c r="D44" t="s">
        <v>81</v>
      </c>
      <c r="E44">
        <v>18.75</v>
      </c>
      <c r="G44" s="1"/>
    </row>
    <row r="45" spans="1:7" x14ac:dyDescent="0.45">
      <c r="A45">
        <v>44</v>
      </c>
      <c r="B45" s="4">
        <v>45551</v>
      </c>
      <c r="C45" t="s">
        <v>38</v>
      </c>
      <c r="D45" t="s">
        <v>81</v>
      </c>
      <c r="E45">
        <v>20</v>
      </c>
      <c r="G45" s="1"/>
    </row>
    <row r="46" spans="1:7" x14ac:dyDescent="0.45">
      <c r="A46">
        <v>45</v>
      </c>
      <c r="B46" s="4">
        <v>45553</v>
      </c>
      <c r="C46" t="s">
        <v>39</v>
      </c>
      <c r="D46" t="s">
        <v>81</v>
      </c>
      <c r="E46">
        <v>250</v>
      </c>
      <c r="G46" s="1"/>
    </row>
    <row r="47" spans="1:7" x14ac:dyDescent="0.45">
      <c r="A47">
        <v>46</v>
      </c>
      <c r="B47" s="4">
        <v>45554</v>
      </c>
      <c r="C47" t="s">
        <v>40</v>
      </c>
      <c r="D47" t="s">
        <v>87</v>
      </c>
      <c r="E47">
        <v>24</v>
      </c>
      <c r="G47" s="1"/>
    </row>
    <row r="48" spans="1:7" x14ac:dyDescent="0.45">
      <c r="A48">
        <v>47</v>
      </c>
      <c r="B48" s="4">
        <v>45554</v>
      </c>
      <c r="C48" t="s">
        <v>40</v>
      </c>
      <c r="D48" t="s">
        <v>87</v>
      </c>
      <c r="E48">
        <v>10</v>
      </c>
      <c r="G48" s="1"/>
    </row>
    <row r="49" spans="1:7" x14ac:dyDescent="0.45">
      <c r="A49">
        <v>48</v>
      </c>
      <c r="B49" s="4">
        <v>45555</v>
      </c>
      <c r="C49" t="s">
        <v>41</v>
      </c>
      <c r="D49" t="s">
        <v>81</v>
      </c>
      <c r="E49">
        <v>15</v>
      </c>
      <c r="G49" s="1"/>
    </row>
    <row r="50" spans="1:7" x14ac:dyDescent="0.45">
      <c r="A50">
        <v>49</v>
      </c>
      <c r="B50" s="4">
        <v>45555</v>
      </c>
      <c r="C50" t="s">
        <v>42</v>
      </c>
      <c r="D50" t="s">
        <v>80</v>
      </c>
      <c r="E50">
        <v>170</v>
      </c>
      <c r="G50" s="1"/>
    </row>
    <row r="51" spans="1:7" x14ac:dyDescent="0.45">
      <c r="A51">
        <v>50</v>
      </c>
      <c r="B51" s="4">
        <v>45557</v>
      </c>
      <c r="C51" t="s">
        <v>23</v>
      </c>
      <c r="D51" t="s">
        <v>82</v>
      </c>
      <c r="E51">
        <v>1871.41</v>
      </c>
      <c r="G51" s="1"/>
    </row>
    <row r="52" spans="1:7" x14ac:dyDescent="0.45">
      <c r="A52">
        <v>51</v>
      </c>
      <c r="B52" s="4">
        <v>45562</v>
      </c>
      <c r="C52" t="s">
        <v>43</v>
      </c>
      <c r="D52" t="s">
        <v>81</v>
      </c>
      <c r="E52">
        <v>15</v>
      </c>
      <c r="G52" s="1"/>
    </row>
    <row r="53" spans="1:7" x14ac:dyDescent="0.45">
      <c r="A53">
        <v>52</v>
      </c>
      <c r="B53" s="4">
        <v>45564</v>
      </c>
      <c r="C53" t="s">
        <v>23</v>
      </c>
      <c r="D53" t="s">
        <v>82</v>
      </c>
      <c r="E53">
        <v>101.8</v>
      </c>
      <c r="G53" s="1"/>
    </row>
    <row r="54" spans="1:7" x14ac:dyDescent="0.45">
      <c r="A54">
        <v>53</v>
      </c>
      <c r="B54" s="4">
        <v>45566</v>
      </c>
      <c r="C54" t="s">
        <v>44</v>
      </c>
      <c r="D54" t="s">
        <v>80</v>
      </c>
      <c r="E54">
        <v>5460</v>
      </c>
      <c r="G54" s="1"/>
    </row>
    <row r="55" spans="1:7" s="2" customFormat="1" x14ac:dyDescent="0.45">
      <c r="A55">
        <v>54</v>
      </c>
      <c r="B55" s="4">
        <v>45566</v>
      </c>
      <c r="C55" t="s">
        <v>45</v>
      </c>
      <c r="D55" t="s">
        <v>84</v>
      </c>
      <c r="E55">
        <v>1500</v>
      </c>
      <c r="F55"/>
      <c r="G55"/>
    </row>
    <row r="56" spans="1:7" x14ac:dyDescent="0.45">
      <c r="A56">
        <v>55</v>
      </c>
      <c r="B56" s="4">
        <v>45566</v>
      </c>
      <c r="C56" t="s">
        <v>51</v>
      </c>
      <c r="D56" t="s">
        <v>83</v>
      </c>
      <c r="E56">
        <v>1268.0999999999999</v>
      </c>
      <c r="G56" s="1"/>
    </row>
    <row r="57" spans="1:7" x14ac:dyDescent="0.45">
      <c r="A57">
        <v>56</v>
      </c>
      <c r="B57" s="4">
        <v>45569</v>
      </c>
      <c r="C57" t="s">
        <v>5</v>
      </c>
      <c r="D57" t="s">
        <v>27</v>
      </c>
      <c r="E57">
        <v>150</v>
      </c>
      <c r="G57" s="1"/>
    </row>
    <row r="58" spans="1:7" x14ac:dyDescent="0.45">
      <c r="A58">
        <v>57</v>
      </c>
      <c r="B58" s="4">
        <v>45569</v>
      </c>
      <c r="C58" t="s">
        <v>46</v>
      </c>
      <c r="D58" t="s">
        <v>26</v>
      </c>
      <c r="E58">
        <v>10</v>
      </c>
      <c r="G58" s="1"/>
    </row>
    <row r="59" spans="1:7" x14ac:dyDescent="0.45">
      <c r="A59">
        <v>58</v>
      </c>
      <c r="B59" s="4">
        <v>45570</v>
      </c>
      <c r="C59" t="s">
        <v>23</v>
      </c>
      <c r="D59" t="s">
        <v>82</v>
      </c>
      <c r="E59">
        <v>407.2</v>
      </c>
      <c r="G59" s="1"/>
    </row>
    <row r="60" spans="1:7" x14ac:dyDescent="0.45">
      <c r="A60">
        <v>59</v>
      </c>
      <c r="B60" s="4">
        <v>45572</v>
      </c>
      <c r="C60" t="s">
        <v>47</v>
      </c>
      <c r="D60" t="s">
        <v>81</v>
      </c>
      <c r="E60">
        <v>15</v>
      </c>
      <c r="G60" s="1"/>
    </row>
    <row r="61" spans="1:7" x14ac:dyDescent="0.45">
      <c r="A61">
        <v>60</v>
      </c>
      <c r="B61" s="4">
        <v>45572</v>
      </c>
      <c r="C61" t="s">
        <v>48</v>
      </c>
      <c r="D61" t="s">
        <v>81</v>
      </c>
      <c r="E61">
        <v>15</v>
      </c>
      <c r="G61" s="1"/>
    </row>
    <row r="62" spans="1:7" x14ac:dyDescent="0.45">
      <c r="A62">
        <v>61</v>
      </c>
      <c r="B62" s="4">
        <v>45573</v>
      </c>
      <c r="C62" t="s">
        <v>23</v>
      </c>
      <c r="D62" t="s">
        <v>82</v>
      </c>
      <c r="E62">
        <v>395.71</v>
      </c>
      <c r="G62" s="1"/>
    </row>
    <row r="63" spans="1:7" x14ac:dyDescent="0.45">
      <c r="A63">
        <v>62</v>
      </c>
      <c r="B63" s="4">
        <v>45573</v>
      </c>
      <c r="C63" t="s">
        <v>33</v>
      </c>
      <c r="D63" t="s">
        <v>80</v>
      </c>
      <c r="E63">
        <v>33.799999999999997</v>
      </c>
      <c r="G63" s="1"/>
    </row>
    <row r="64" spans="1:7" x14ac:dyDescent="0.45">
      <c r="A64">
        <v>63</v>
      </c>
      <c r="B64" s="4">
        <v>45579</v>
      </c>
      <c r="C64" t="s">
        <v>86</v>
      </c>
      <c r="D64" t="s">
        <v>81</v>
      </c>
      <c r="E64">
        <v>15</v>
      </c>
      <c r="G64" s="1"/>
    </row>
    <row r="65" spans="1:7" x14ac:dyDescent="0.45">
      <c r="A65">
        <v>64</v>
      </c>
      <c r="B65" s="4">
        <v>45585</v>
      </c>
      <c r="C65" t="s">
        <v>49</v>
      </c>
      <c r="D65" t="s">
        <v>81</v>
      </c>
      <c r="E65">
        <v>50</v>
      </c>
      <c r="G65" s="1"/>
    </row>
    <row r="66" spans="1:7" x14ac:dyDescent="0.45">
      <c r="A66">
        <v>65</v>
      </c>
      <c r="B66" s="4">
        <v>45586</v>
      </c>
      <c r="C66" t="s">
        <v>50</v>
      </c>
      <c r="D66" t="s">
        <v>80</v>
      </c>
      <c r="E66">
        <v>180</v>
      </c>
      <c r="G66" s="1"/>
    </row>
    <row r="67" spans="1:7" x14ac:dyDescent="0.45">
      <c r="A67">
        <v>66</v>
      </c>
      <c r="B67" s="4">
        <v>45587</v>
      </c>
      <c r="C67" t="s">
        <v>23</v>
      </c>
      <c r="D67" t="s">
        <v>82</v>
      </c>
      <c r="E67">
        <v>139.91</v>
      </c>
      <c r="G67" s="1"/>
    </row>
    <row r="68" spans="1:7" x14ac:dyDescent="0.45">
      <c r="A68">
        <v>67</v>
      </c>
      <c r="B68" s="4">
        <v>45594</v>
      </c>
      <c r="C68" t="s">
        <v>52</v>
      </c>
      <c r="D68" t="s">
        <v>26</v>
      </c>
      <c r="E68">
        <v>9.64</v>
      </c>
      <c r="G68" s="1"/>
    </row>
    <row r="69" spans="1:7" x14ac:dyDescent="0.45">
      <c r="A69">
        <v>68</v>
      </c>
      <c r="B69" s="4">
        <v>45594</v>
      </c>
      <c r="C69" t="s">
        <v>53</v>
      </c>
      <c r="D69" t="s">
        <v>26</v>
      </c>
      <c r="E69">
        <v>27.52</v>
      </c>
      <c r="G69" s="1"/>
    </row>
    <row r="70" spans="1:7" x14ac:dyDescent="0.45">
      <c r="A70">
        <v>69</v>
      </c>
      <c r="B70" s="4">
        <v>45595</v>
      </c>
      <c r="C70" t="s">
        <v>23</v>
      </c>
      <c r="D70" t="s">
        <v>82</v>
      </c>
      <c r="E70">
        <v>83.5</v>
      </c>
      <c r="G70" s="1"/>
    </row>
    <row r="71" spans="1:7" x14ac:dyDescent="0.45">
      <c r="A71">
        <v>70</v>
      </c>
      <c r="B71" s="4">
        <v>45596</v>
      </c>
      <c r="C71" t="s">
        <v>54</v>
      </c>
      <c r="D71" t="s">
        <v>81</v>
      </c>
      <c r="E71">
        <v>75</v>
      </c>
      <c r="G71" s="1"/>
    </row>
    <row r="72" spans="1:7" x14ac:dyDescent="0.45">
      <c r="A72">
        <v>71</v>
      </c>
      <c r="B72" s="4">
        <v>45596</v>
      </c>
      <c r="C72" t="s">
        <v>57</v>
      </c>
      <c r="D72" t="s">
        <v>26</v>
      </c>
      <c r="E72">
        <v>289.863</v>
      </c>
      <c r="G72" s="1"/>
    </row>
    <row r="73" spans="1:7" x14ac:dyDescent="0.45">
      <c r="A73">
        <v>72</v>
      </c>
      <c r="B73" s="4">
        <v>45597</v>
      </c>
      <c r="C73" t="s">
        <v>56</v>
      </c>
      <c r="D73" t="s">
        <v>85</v>
      </c>
      <c r="E73">
        <v>480.11</v>
      </c>
      <c r="G73" s="1"/>
    </row>
    <row r="74" spans="1:7" s="2" customFormat="1" x14ac:dyDescent="0.45">
      <c r="A74">
        <v>73</v>
      </c>
      <c r="B74" s="4">
        <v>45597</v>
      </c>
      <c r="C74" t="s">
        <v>45</v>
      </c>
      <c r="D74" t="s">
        <v>84</v>
      </c>
      <c r="E74">
        <v>1500</v>
      </c>
      <c r="F74"/>
      <c r="G74"/>
    </row>
    <row r="75" spans="1:7" x14ac:dyDescent="0.45">
      <c r="A75">
        <v>74</v>
      </c>
      <c r="B75" s="4">
        <v>45597</v>
      </c>
      <c r="C75" t="s">
        <v>55</v>
      </c>
      <c r="D75" t="s">
        <v>83</v>
      </c>
      <c r="E75">
        <v>1268.0999999999999</v>
      </c>
      <c r="G75" s="1"/>
    </row>
    <row r="76" spans="1:7" x14ac:dyDescent="0.45">
      <c r="A76">
        <v>75</v>
      </c>
      <c r="B76" s="4">
        <v>45597</v>
      </c>
      <c r="C76" t="s">
        <v>58</v>
      </c>
      <c r="D76" t="s">
        <v>85</v>
      </c>
      <c r="E76">
        <v>500</v>
      </c>
      <c r="G76" s="1"/>
    </row>
    <row r="77" spans="1:7" x14ac:dyDescent="0.45">
      <c r="A77">
        <v>76</v>
      </c>
      <c r="B77" s="4">
        <v>45598</v>
      </c>
      <c r="C77" t="s">
        <v>46</v>
      </c>
      <c r="D77" t="s">
        <v>26</v>
      </c>
      <c r="E77">
        <v>20</v>
      </c>
      <c r="G77" s="1"/>
    </row>
    <row r="78" spans="1:7" x14ac:dyDescent="0.45">
      <c r="A78">
        <v>77</v>
      </c>
      <c r="B78" s="4">
        <v>45600</v>
      </c>
      <c r="C78" t="s">
        <v>59</v>
      </c>
      <c r="D78" t="s">
        <v>26</v>
      </c>
      <c r="E78">
        <v>21.103999999999999</v>
      </c>
      <c r="G78" s="1"/>
    </row>
    <row r="79" spans="1:7" x14ac:dyDescent="0.45">
      <c r="A79">
        <v>78</v>
      </c>
      <c r="B79" s="4">
        <v>45600</v>
      </c>
      <c r="C79" t="s">
        <v>5</v>
      </c>
      <c r="D79" t="s">
        <v>27</v>
      </c>
      <c r="E79">
        <v>150</v>
      </c>
      <c r="G79" s="1"/>
    </row>
    <row r="80" spans="1:7" x14ac:dyDescent="0.45">
      <c r="A80">
        <v>79</v>
      </c>
      <c r="B80" s="4">
        <v>45600</v>
      </c>
      <c r="C80" t="s">
        <v>60</v>
      </c>
      <c r="D80" t="s">
        <v>80</v>
      </c>
      <c r="E80">
        <v>10</v>
      </c>
      <c r="G80" s="1"/>
    </row>
    <row r="81" spans="1:7" x14ac:dyDescent="0.45">
      <c r="A81">
        <v>80</v>
      </c>
      <c r="B81" s="4">
        <v>45600</v>
      </c>
      <c r="C81" t="s">
        <v>49</v>
      </c>
      <c r="D81" t="s">
        <v>81</v>
      </c>
      <c r="E81">
        <v>20</v>
      </c>
      <c r="G81" s="1"/>
    </row>
    <row r="82" spans="1:7" x14ac:dyDescent="0.45">
      <c r="A82">
        <v>81</v>
      </c>
      <c r="B82" s="4">
        <v>45601</v>
      </c>
      <c r="C82" t="s">
        <v>61</v>
      </c>
      <c r="D82" t="s">
        <v>81</v>
      </c>
      <c r="E82">
        <v>150</v>
      </c>
      <c r="G82" s="1"/>
    </row>
    <row r="83" spans="1:7" x14ac:dyDescent="0.45">
      <c r="A83">
        <v>82</v>
      </c>
      <c r="B83" s="4">
        <v>45603</v>
      </c>
      <c r="C83" t="s">
        <v>62</v>
      </c>
      <c r="D83" t="s">
        <v>85</v>
      </c>
      <c r="E83">
        <v>120</v>
      </c>
      <c r="G83" s="1"/>
    </row>
    <row r="84" spans="1:7" x14ac:dyDescent="0.45">
      <c r="A84">
        <v>83</v>
      </c>
      <c r="B84" s="4">
        <v>45603</v>
      </c>
      <c r="C84" t="s">
        <v>63</v>
      </c>
      <c r="D84" t="s">
        <v>81</v>
      </c>
      <c r="E84">
        <v>190</v>
      </c>
      <c r="G84" s="1"/>
    </row>
    <row r="85" spans="1:7" x14ac:dyDescent="0.45">
      <c r="A85">
        <v>84</v>
      </c>
      <c r="B85" s="4">
        <v>45606</v>
      </c>
      <c r="C85" t="s">
        <v>59</v>
      </c>
      <c r="D85" t="s">
        <v>26</v>
      </c>
      <c r="E85">
        <v>5.2759999999999998</v>
      </c>
      <c r="G85" s="1"/>
    </row>
    <row r="86" spans="1:7" x14ac:dyDescent="0.45">
      <c r="A86">
        <v>85</v>
      </c>
      <c r="B86" s="4">
        <v>45607</v>
      </c>
      <c r="C86" t="s">
        <v>41</v>
      </c>
      <c r="D86" t="s">
        <v>81</v>
      </c>
      <c r="E86">
        <v>20</v>
      </c>
      <c r="G86" s="1"/>
    </row>
    <row r="87" spans="1:7" x14ac:dyDescent="0.45">
      <c r="A87">
        <v>86</v>
      </c>
      <c r="B87" s="4">
        <v>45607</v>
      </c>
      <c r="C87" t="s">
        <v>64</v>
      </c>
      <c r="D87" t="s">
        <v>81</v>
      </c>
      <c r="E87">
        <v>10</v>
      </c>
      <c r="G87" s="1"/>
    </row>
    <row r="88" spans="1:7" x14ac:dyDescent="0.45">
      <c r="A88">
        <v>87</v>
      </c>
      <c r="B88" s="4">
        <v>45626</v>
      </c>
      <c r="C88" t="s">
        <v>69</v>
      </c>
      <c r="D88" t="s">
        <v>26</v>
      </c>
      <c r="E88">
        <v>74.03</v>
      </c>
      <c r="G88" s="1"/>
    </row>
    <row r="89" spans="1:7" x14ac:dyDescent="0.45">
      <c r="A89">
        <v>88</v>
      </c>
      <c r="B89" s="4">
        <v>45626</v>
      </c>
      <c r="C89" t="s">
        <v>70</v>
      </c>
      <c r="D89" t="s">
        <v>26</v>
      </c>
      <c r="E89">
        <v>527.81600000000003</v>
      </c>
      <c r="G89" s="1"/>
    </row>
    <row r="90" spans="1:7" x14ac:dyDescent="0.45">
      <c r="A90">
        <v>89</v>
      </c>
      <c r="B90" s="4">
        <v>45627</v>
      </c>
      <c r="C90" t="s">
        <v>56</v>
      </c>
      <c r="D90" t="s">
        <v>85</v>
      </c>
      <c r="E90">
        <v>1415.2</v>
      </c>
      <c r="G90" s="1"/>
    </row>
    <row r="91" spans="1:7" s="2" customFormat="1" x14ac:dyDescent="0.45">
      <c r="A91">
        <v>90</v>
      </c>
      <c r="B91" s="4">
        <v>45627</v>
      </c>
      <c r="C91" t="s">
        <v>45</v>
      </c>
      <c r="D91" t="s">
        <v>84</v>
      </c>
      <c r="E91">
        <v>1500</v>
      </c>
      <c r="F91"/>
      <c r="G91"/>
    </row>
    <row r="92" spans="1:7" x14ac:dyDescent="0.45">
      <c r="A92">
        <v>91</v>
      </c>
      <c r="B92" s="4">
        <v>45627</v>
      </c>
      <c r="C92" t="s">
        <v>55</v>
      </c>
      <c r="D92" t="s">
        <v>83</v>
      </c>
      <c r="E92">
        <v>1268.0999999999999</v>
      </c>
      <c r="G92" s="1"/>
    </row>
    <row r="93" spans="1:7" x14ac:dyDescent="0.45">
      <c r="A93">
        <v>92</v>
      </c>
      <c r="B93" s="4">
        <v>45627</v>
      </c>
      <c r="C93" t="s">
        <v>65</v>
      </c>
      <c r="D93" t="s">
        <v>81</v>
      </c>
      <c r="E93">
        <v>40</v>
      </c>
      <c r="G93" s="1"/>
    </row>
    <row r="94" spans="1:7" x14ac:dyDescent="0.45">
      <c r="A94">
        <v>93</v>
      </c>
      <c r="B94" s="4">
        <v>45628</v>
      </c>
      <c r="C94" t="s">
        <v>66</v>
      </c>
      <c r="D94" t="s">
        <v>81</v>
      </c>
      <c r="E94">
        <v>250</v>
      </c>
      <c r="G94" s="1"/>
    </row>
    <row r="95" spans="1:7" x14ac:dyDescent="0.45">
      <c r="A95">
        <v>94</v>
      </c>
      <c r="B95" s="4">
        <v>45630</v>
      </c>
      <c r="C95" t="s">
        <v>67</v>
      </c>
      <c r="D95" t="s">
        <v>81</v>
      </c>
      <c r="E95">
        <v>775</v>
      </c>
      <c r="G95" s="1"/>
    </row>
    <row r="96" spans="1:7" x14ac:dyDescent="0.45">
      <c r="A96">
        <v>95</v>
      </c>
      <c r="B96" s="4">
        <v>45630</v>
      </c>
      <c r="C96" t="s">
        <v>68</v>
      </c>
      <c r="D96" t="s">
        <v>26</v>
      </c>
      <c r="E96">
        <v>55.308</v>
      </c>
      <c r="G96" s="1"/>
    </row>
    <row r="97" spans="1:7" x14ac:dyDescent="0.45">
      <c r="A97">
        <v>96</v>
      </c>
      <c r="B97" s="4">
        <v>45630</v>
      </c>
      <c r="C97" t="s">
        <v>5</v>
      </c>
      <c r="D97" t="s">
        <v>27</v>
      </c>
      <c r="E97">
        <v>150</v>
      </c>
      <c r="G97" s="1"/>
    </row>
    <row r="98" spans="1:7" x14ac:dyDescent="0.45">
      <c r="A98">
        <v>97</v>
      </c>
      <c r="B98" s="4">
        <v>45631</v>
      </c>
      <c r="C98" t="s">
        <v>71</v>
      </c>
      <c r="D98" t="s">
        <v>81</v>
      </c>
      <c r="E98">
        <v>15</v>
      </c>
      <c r="G98" s="1"/>
    </row>
    <row r="99" spans="1:7" x14ac:dyDescent="0.45">
      <c r="A99">
        <v>98</v>
      </c>
      <c r="B99" s="4">
        <v>45638</v>
      </c>
      <c r="C99" t="s">
        <v>72</v>
      </c>
      <c r="D99" t="s">
        <v>81</v>
      </c>
      <c r="E99">
        <v>80</v>
      </c>
      <c r="G99" s="1"/>
    </row>
    <row r="100" spans="1:7" x14ac:dyDescent="0.45">
      <c r="A100">
        <v>99</v>
      </c>
      <c r="B100" s="4">
        <v>45643</v>
      </c>
      <c r="C100" t="s">
        <v>73</v>
      </c>
      <c r="D100" t="s">
        <v>26</v>
      </c>
      <c r="E100">
        <v>30.754999999999999</v>
      </c>
      <c r="G100" s="1"/>
    </row>
    <row r="101" spans="1:7" x14ac:dyDescent="0.45">
      <c r="A101">
        <v>100</v>
      </c>
      <c r="B101" s="4">
        <v>45643</v>
      </c>
      <c r="C101" t="s">
        <v>73</v>
      </c>
      <c r="D101" t="s">
        <v>26</v>
      </c>
      <c r="E101">
        <v>40.078000000000003</v>
      </c>
      <c r="G101" s="1"/>
    </row>
    <row r="102" spans="1:7" x14ac:dyDescent="0.45">
      <c r="A102">
        <v>101</v>
      </c>
      <c r="B102" s="4">
        <v>45643</v>
      </c>
      <c r="C102" t="s">
        <v>74</v>
      </c>
      <c r="D102" t="s">
        <v>81</v>
      </c>
      <c r="E102">
        <v>15</v>
      </c>
      <c r="G102" s="1"/>
    </row>
    <row r="103" spans="1:7" x14ac:dyDescent="0.45">
      <c r="A103">
        <v>102</v>
      </c>
      <c r="B103" s="4">
        <v>45644</v>
      </c>
      <c r="C103" t="s">
        <v>46</v>
      </c>
      <c r="D103" t="s">
        <v>26</v>
      </c>
      <c r="E103">
        <v>20</v>
      </c>
      <c r="G103" s="1"/>
    </row>
    <row r="104" spans="1:7" x14ac:dyDescent="0.45">
      <c r="A104">
        <v>103</v>
      </c>
      <c r="B104" s="4">
        <v>45645</v>
      </c>
      <c r="C104" t="s">
        <v>33</v>
      </c>
      <c r="D104" t="s">
        <v>80</v>
      </c>
      <c r="E104">
        <v>65</v>
      </c>
      <c r="G104" s="1"/>
    </row>
    <row r="105" spans="1:7" x14ac:dyDescent="0.45">
      <c r="A105">
        <v>104</v>
      </c>
      <c r="B105" s="4">
        <v>45648</v>
      </c>
      <c r="C105" t="s">
        <v>23</v>
      </c>
      <c r="D105" t="s">
        <v>82</v>
      </c>
      <c r="E105">
        <v>101.8</v>
      </c>
      <c r="G105" s="1"/>
    </row>
    <row r="106" spans="1:7" x14ac:dyDescent="0.45">
      <c r="A106">
        <v>105</v>
      </c>
      <c r="B106" s="4">
        <v>45648</v>
      </c>
      <c r="C106" t="s">
        <v>73</v>
      </c>
      <c r="D106" t="s">
        <v>26</v>
      </c>
      <c r="E106">
        <v>38.023000000000003</v>
      </c>
      <c r="G106" s="1"/>
    </row>
    <row r="107" spans="1:7" x14ac:dyDescent="0.45">
      <c r="A107">
        <v>106</v>
      </c>
      <c r="B107" s="4">
        <v>45650</v>
      </c>
      <c r="C107" t="s">
        <v>73</v>
      </c>
      <c r="D107" t="s">
        <v>26</v>
      </c>
      <c r="E107">
        <v>12.332000000000001</v>
      </c>
      <c r="G107" s="1"/>
    </row>
    <row r="108" spans="1:7" x14ac:dyDescent="0.45">
      <c r="A108">
        <v>107</v>
      </c>
      <c r="B108" s="4">
        <v>45654</v>
      </c>
      <c r="C108" t="s">
        <v>75</v>
      </c>
      <c r="D108" t="s">
        <v>81</v>
      </c>
      <c r="E108">
        <v>15</v>
      </c>
      <c r="G108" s="1"/>
    </row>
    <row r="109" spans="1:7" x14ac:dyDescent="0.45">
      <c r="A109">
        <v>108</v>
      </c>
      <c r="B109" s="4">
        <v>45654</v>
      </c>
      <c r="C109" t="s">
        <v>231</v>
      </c>
      <c r="D109" t="s">
        <v>85</v>
      </c>
      <c r="E109">
        <v>7222.94</v>
      </c>
      <c r="G109" s="1"/>
    </row>
    <row r="110" spans="1:7" x14ac:dyDescent="0.45">
      <c r="A110">
        <v>109</v>
      </c>
      <c r="B110" s="4">
        <v>45654</v>
      </c>
      <c r="C110" t="s">
        <v>93</v>
      </c>
      <c r="D110" t="s">
        <v>95</v>
      </c>
      <c r="F110">
        <v>39387.900999999998</v>
      </c>
      <c r="G110" s="1"/>
    </row>
    <row r="111" spans="1:7" x14ac:dyDescent="0.45">
      <c r="A111">
        <v>110</v>
      </c>
      <c r="B111" s="4">
        <v>45654</v>
      </c>
      <c r="C111" t="s">
        <v>91</v>
      </c>
      <c r="D111" t="s">
        <v>94</v>
      </c>
      <c r="G111">
        <v>39387.900999999998</v>
      </c>
    </row>
    <row r="112" spans="1:7" x14ac:dyDescent="0.45">
      <c r="A112">
        <v>111</v>
      </c>
      <c r="B112" s="4">
        <v>45657</v>
      </c>
      <c r="C112" t="s">
        <v>73</v>
      </c>
      <c r="D112" t="s">
        <v>26</v>
      </c>
      <c r="E112">
        <v>18</v>
      </c>
      <c r="G112" s="1"/>
    </row>
    <row r="113" spans="1:7" x14ac:dyDescent="0.45">
      <c r="A113">
        <v>112</v>
      </c>
      <c r="B113" s="4">
        <v>45658</v>
      </c>
      <c r="C113" t="s">
        <v>56</v>
      </c>
      <c r="D113" t="s">
        <v>85</v>
      </c>
      <c r="E113">
        <v>2860.2649999999999</v>
      </c>
      <c r="G113" s="1"/>
    </row>
    <row r="114" spans="1:7" s="2" customFormat="1" x14ac:dyDescent="0.45">
      <c r="A114">
        <v>113</v>
      </c>
      <c r="B114" s="4">
        <v>45658</v>
      </c>
      <c r="C114" t="s">
        <v>45</v>
      </c>
      <c r="D114" t="s">
        <v>84</v>
      </c>
      <c r="E114">
        <v>1500</v>
      </c>
      <c r="F114"/>
      <c r="G114"/>
    </row>
    <row r="115" spans="1:7" x14ac:dyDescent="0.45">
      <c r="A115">
        <v>114</v>
      </c>
      <c r="B115" s="4">
        <v>45658</v>
      </c>
      <c r="C115" t="s">
        <v>55</v>
      </c>
      <c r="D115" t="s">
        <v>83</v>
      </c>
      <c r="E115">
        <v>1268.0999999999999</v>
      </c>
      <c r="G115" s="1"/>
    </row>
    <row r="116" spans="1:7" x14ac:dyDescent="0.45">
      <c r="A116">
        <v>115</v>
      </c>
      <c r="B116" s="4">
        <v>45658</v>
      </c>
      <c r="C116" t="s">
        <v>73</v>
      </c>
      <c r="D116" t="s">
        <v>26</v>
      </c>
      <c r="E116">
        <v>18.510000000000002</v>
      </c>
      <c r="G116" s="1"/>
    </row>
    <row r="117" spans="1:7" x14ac:dyDescent="0.45">
      <c r="A117">
        <v>116</v>
      </c>
      <c r="B117" s="4">
        <v>45659</v>
      </c>
      <c r="C117" t="s">
        <v>5</v>
      </c>
      <c r="D117" t="s">
        <v>27</v>
      </c>
      <c r="E117">
        <v>150</v>
      </c>
      <c r="G117" s="1"/>
    </row>
    <row r="118" spans="1:7" x14ac:dyDescent="0.45">
      <c r="A118">
        <v>117</v>
      </c>
      <c r="B118" s="4">
        <v>45663</v>
      </c>
      <c r="C118" t="s">
        <v>77</v>
      </c>
      <c r="D118" t="s">
        <v>81</v>
      </c>
      <c r="E118">
        <v>15</v>
      </c>
      <c r="G118" s="1"/>
    </row>
    <row r="119" spans="1:7" x14ac:dyDescent="0.45">
      <c r="A119">
        <v>118</v>
      </c>
      <c r="B119" s="4">
        <v>45662</v>
      </c>
      <c r="C119" t="s">
        <v>76</v>
      </c>
      <c r="D119" t="s">
        <v>26</v>
      </c>
      <c r="E119">
        <v>31.856999999999999</v>
      </c>
      <c r="G119" s="1"/>
    </row>
    <row r="120" spans="1:7" x14ac:dyDescent="0.45">
      <c r="A120">
        <v>119</v>
      </c>
      <c r="B120" s="4">
        <v>45663</v>
      </c>
      <c r="C120" t="s">
        <v>23</v>
      </c>
      <c r="D120" t="s">
        <v>82</v>
      </c>
      <c r="E120">
        <v>365.54</v>
      </c>
      <c r="G120" s="1"/>
    </row>
    <row r="121" spans="1:7" x14ac:dyDescent="0.45">
      <c r="A121">
        <v>120</v>
      </c>
      <c r="B121" s="4">
        <v>45666</v>
      </c>
      <c r="C121" t="s">
        <v>29</v>
      </c>
      <c r="D121" t="s">
        <v>26</v>
      </c>
      <c r="E121">
        <v>10</v>
      </c>
      <c r="G121" s="1"/>
    </row>
    <row r="122" spans="1:7" x14ac:dyDescent="0.45">
      <c r="A122">
        <v>121</v>
      </c>
      <c r="B122" s="4">
        <v>45666</v>
      </c>
      <c r="C122" t="s">
        <v>78</v>
      </c>
      <c r="D122" t="s">
        <v>80</v>
      </c>
      <c r="E122">
        <v>145</v>
      </c>
      <c r="G122" s="1"/>
    </row>
    <row r="123" spans="1:7" x14ac:dyDescent="0.45">
      <c r="A123">
        <v>122</v>
      </c>
      <c r="B123" s="4">
        <v>45669</v>
      </c>
      <c r="C123" t="s">
        <v>77</v>
      </c>
      <c r="D123" t="s">
        <v>81</v>
      </c>
      <c r="E123">
        <v>25</v>
      </c>
      <c r="G123" s="1"/>
    </row>
    <row r="124" spans="1:7" x14ac:dyDescent="0.45">
      <c r="A124">
        <v>123</v>
      </c>
      <c r="B124" s="4">
        <v>45671</v>
      </c>
      <c r="C124" t="s">
        <v>46</v>
      </c>
      <c r="D124" t="s">
        <v>26</v>
      </c>
      <c r="E124">
        <v>20</v>
      </c>
      <c r="G124" s="1"/>
    </row>
    <row r="125" spans="1:7" x14ac:dyDescent="0.45">
      <c r="A125">
        <v>124</v>
      </c>
      <c r="B125" s="4">
        <v>45672</v>
      </c>
      <c r="C125" t="s">
        <v>93</v>
      </c>
      <c r="D125" t="s">
        <v>95</v>
      </c>
      <c r="F125">
        <v>7222.2219999999998</v>
      </c>
      <c r="G125" s="1"/>
    </row>
    <row r="126" spans="1:7" x14ac:dyDescent="0.45">
      <c r="A126">
        <v>125</v>
      </c>
      <c r="B126" s="4">
        <v>45672</v>
      </c>
      <c r="C126" t="s">
        <v>88</v>
      </c>
      <c r="D126" t="s">
        <v>81</v>
      </c>
      <c r="E126">
        <v>20</v>
      </c>
      <c r="G126" s="1"/>
    </row>
    <row r="127" spans="1:7" x14ac:dyDescent="0.45">
      <c r="A127">
        <v>126</v>
      </c>
      <c r="B127" s="4">
        <v>45673</v>
      </c>
      <c r="C127" t="s">
        <v>89</v>
      </c>
      <c r="D127" t="s">
        <v>80</v>
      </c>
      <c r="E127">
        <v>160</v>
      </c>
      <c r="G127" s="1"/>
    </row>
    <row r="128" spans="1:7" x14ac:dyDescent="0.45">
      <c r="A128">
        <v>127</v>
      </c>
      <c r="B128" s="4">
        <v>45676</v>
      </c>
      <c r="C128" t="s">
        <v>91</v>
      </c>
      <c r="D128" t="s">
        <v>94</v>
      </c>
      <c r="G128" s="1">
        <v>7222.2219999999998</v>
      </c>
    </row>
    <row r="129" spans="1:7" x14ac:dyDescent="0.45">
      <c r="A129">
        <v>128</v>
      </c>
      <c r="B129" s="4">
        <v>45676</v>
      </c>
      <c r="C129" t="s">
        <v>96</v>
      </c>
      <c r="D129" t="s">
        <v>26</v>
      </c>
      <c r="E129">
        <v>297.76499999999999</v>
      </c>
      <c r="G129" s="1"/>
    </row>
    <row r="130" spans="1:7" x14ac:dyDescent="0.45">
      <c r="A130">
        <v>129</v>
      </c>
      <c r="B130" s="4">
        <v>45678</v>
      </c>
      <c r="C130" t="s">
        <v>41</v>
      </c>
      <c r="D130" t="s">
        <v>26</v>
      </c>
      <c r="E130">
        <v>15</v>
      </c>
      <c r="G130" s="1"/>
    </row>
    <row r="131" spans="1:7" x14ac:dyDescent="0.45">
      <c r="A131">
        <v>130</v>
      </c>
      <c r="B131" s="4">
        <v>45683</v>
      </c>
      <c r="C131" t="s">
        <v>97</v>
      </c>
      <c r="D131" t="s">
        <v>80</v>
      </c>
      <c r="E131">
        <v>420</v>
      </c>
      <c r="G131" s="1"/>
    </row>
    <row r="132" spans="1:7" x14ac:dyDescent="0.45">
      <c r="A132">
        <v>131</v>
      </c>
      <c r="B132" s="4">
        <v>45685</v>
      </c>
      <c r="C132" t="s">
        <v>98</v>
      </c>
      <c r="D132" t="s">
        <v>81</v>
      </c>
      <c r="E132">
        <v>250</v>
      </c>
      <c r="G132" s="1"/>
    </row>
    <row r="133" spans="1:7" x14ac:dyDescent="0.45">
      <c r="A133">
        <v>132</v>
      </c>
      <c r="B133" s="4">
        <v>45680</v>
      </c>
      <c r="C133" t="s">
        <v>93</v>
      </c>
      <c r="D133" t="s">
        <v>95</v>
      </c>
      <c r="F133">
        <f>SUM(E126:E137)</f>
        <v>5257.8649999999998</v>
      </c>
      <c r="G133" s="1"/>
    </row>
    <row r="134" spans="1:7" x14ac:dyDescent="0.45">
      <c r="A134">
        <v>133</v>
      </c>
      <c r="B134" s="4">
        <v>45687</v>
      </c>
      <c r="C134" t="s">
        <v>99</v>
      </c>
      <c r="D134" t="s">
        <v>81</v>
      </c>
      <c r="E134">
        <v>25</v>
      </c>
      <c r="G134" s="1"/>
    </row>
    <row r="135" spans="1:7" s="2" customFormat="1" x14ac:dyDescent="0.45">
      <c r="A135">
        <v>134</v>
      </c>
      <c r="B135" s="4">
        <v>45689</v>
      </c>
      <c r="C135" t="s">
        <v>35</v>
      </c>
      <c r="D135" t="s">
        <v>84</v>
      </c>
      <c r="E135">
        <v>1500</v>
      </c>
      <c r="F135"/>
      <c r="G135"/>
    </row>
    <row r="136" spans="1:7" x14ac:dyDescent="0.45">
      <c r="A136">
        <v>135</v>
      </c>
      <c r="B136" s="4">
        <v>45689</v>
      </c>
      <c r="C136" t="s">
        <v>34</v>
      </c>
      <c r="D136" t="s">
        <v>85</v>
      </c>
      <c r="E136">
        <v>168</v>
      </c>
      <c r="G136" s="1"/>
    </row>
    <row r="137" spans="1:7" x14ac:dyDescent="0.45">
      <c r="A137">
        <v>136</v>
      </c>
      <c r="B137" s="4">
        <v>45689</v>
      </c>
      <c r="C137" t="s">
        <v>100</v>
      </c>
      <c r="D137" t="s">
        <v>83</v>
      </c>
      <c r="E137">
        <f>1268.1+162+162+162+162+162+162+162</f>
        <v>2402.1</v>
      </c>
      <c r="G137" s="1"/>
    </row>
    <row r="138" spans="1:7" x14ac:dyDescent="0.45">
      <c r="A138">
        <v>137</v>
      </c>
      <c r="B138" s="4">
        <v>45693</v>
      </c>
      <c r="C138" t="s">
        <v>91</v>
      </c>
      <c r="D138" t="s">
        <v>94</v>
      </c>
      <c r="G138">
        <v>3915.9050000000002</v>
      </c>
    </row>
    <row r="139" spans="1:7" x14ac:dyDescent="0.45">
      <c r="A139">
        <v>138</v>
      </c>
      <c r="B139" s="4">
        <v>45691</v>
      </c>
      <c r="C139" t="s">
        <v>101</v>
      </c>
      <c r="D139" t="s">
        <v>80</v>
      </c>
      <c r="E139">
        <v>153.6</v>
      </c>
      <c r="G139" s="1"/>
    </row>
    <row r="140" spans="1:7" x14ac:dyDescent="0.45">
      <c r="A140">
        <v>139</v>
      </c>
      <c r="B140" s="4">
        <v>45691</v>
      </c>
      <c r="C140" t="s">
        <v>102</v>
      </c>
      <c r="D140" t="s">
        <v>80</v>
      </c>
      <c r="E140">
        <v>30</v>
      </c>
      <c r="G140" s="1"/>
    </row>
    <row r="141" spans="1:7" x14ac:dyDescent="0.45">
      <c r="A141">
        <v>140</v>
      </c>
      <c r="B141" s="4">
        <v>45692</v>
      </c>
      <c r="C141" t="s">
        <v>5</v>
      </c>
      <c r="D141" t="s">
        <v>27</v>
      </c>
      <c r="E141">
        <v>150</v>
      </c>
      <c r="G141" s="1"/>
    </row>
    <row r="142" spans="1:7" x14ac:dyDescent="0.45">
      <c r="A142">
        <v>141</v>
      </c>
      <c r="B142" s="4">
        <v>45693</v>
      </c>
      <c r="C142" t="s">
        <v>61</v>
      </c>
      <c r="D142" t="s">
        <v>81</v>
      </c>
      <c r="E142">
        <v>25</v>
      </c>
      <c r="G142" s="1"/>
    </row>
    <row r="143" spans="1:7" x14ac:dyDescent="0.45">
      <c r="A143">
        <v>142</v>
      </c>
      <c r="B143" s="4">
        <v>45693</v>
      </c>
      <c r="C143" t="s">
        <v>103</v>
      </c>
      <c r="D143" t="s">
        <v>80</v>
      </c>
      <c r="E143">
        <v>100</v>
      </c>
      <c r="G143" s="1"/>
    </row>
    <row r="144" spans="1:7" x14ac:dyDescent="0.45">
      <c r="A144">
        <v>143</v>
      </c>
      <c r="B144" s="4">
        <v>45693</v>
      </c>
      <c r="C144" t="s">
        <v>93</v>
      </c>
      <c r="D144" t="s">
        <v>95</v>
      </c>
      <c r="F144">
        <f>SUM(E139:E157)</f>
        <v>4617.1769999999997</v>
      </c>
      <c r="G144" s="1"/>
    </row>
    <row r="145" spans="1:9" x14ac:dyDescent="0.45">
      <c r="A145">
        <v>144</v>
      </c>
      <c r="B145" s="4">
        <v>45694</v>
      </c>
      <c r="C145" t="s">
        <v>104</v>
      </c>
      <c r="D145" t="s">
        <v>80</v>
      </c>
      <c r="E145">
        <v>100</v>
      </c>
      <c r="G145" s="1"/>
    </row>
    <row r="146" spans="1:9" x14ac:dyDescent="0.45">
      <c r="A146">
        <v>145</v>
      </c>
      <c r="B146" s="4">
        <v>45694</v>
      </c>
      <c r="C146" t="s">
        <v>105</v>
      </c>
      <c r="D146" t="s">
        <v>26</v>
      </c>
      <c r="E146">
        <v>84.525000000000006</v>
      </c>
      <c r="G146" s="1"/>
    </row>
    <row r="147" spans="1:9" x14ac:dyDescent="0.45">
      <c r="A147">
        <v>146</v>
      </c>
      <c r="B147" s="4">
        <v>45699</v>
      </c>
      <c r="C147" t="s">
        <v>106</v>
      </c>
      <c r="D147" t="s">
        <v>80</v>
      </c>
      <c r="E147">
        <v>75</v>
      </c>
      <c r="G147" s="1"/>
    </row>
    <row r="148" spans="1:9" x14ac:dyDescent="0.45">
      <c r="A148">
        <v>147</v>
      </c>
      <c r="B148" s="4">
        <v>45700</v>
      </c>
      <c r="C148" t="s">
        <v>48</v>
      </c>
      <c r="D148" t="s">
        <v>80</v>
      </c>
      <c r="E148">
        <v>5</v>
      </c>
      <c r="G148" s="1"/>
    </row>
    <row r="149" spans="1:9" x14ac:dyDescent="0.45">
      <c r="A149">
        <v>148</v>
      </c>
      <c r="B149" s="4">
        <v>45701</v>
      </c>
      <c r="C149" t="s">
        <v>56</v>
      </c>
      <c r="D149" t="s">
        <v>85</v>
      </c>
      <c r="E149">
        <v>734.4</v>
      </c>
      <c r="G149" s="1"/>
      <c r="I149" s="1"/>
    </row>
    <row r="150" spans="1:9" x14ac:dyDescent="0.45">
      <c r="A150">
        <v>149</v>
      </c>
      <c r="B150" s="4">
        <v>45708</v>
      </c>
      <c r="C150" t="s">
        <v>108</v>
      </c>
      <c r="D150" t="s">
        <v>80</v>
      </c>
      <c r="E150">
        <v>130</v>
      </c>
      <c r="G150" s="1"/>
      <c r="I150" s="1"/>
    </row>
    <row r="151" spans="1:9" x14ac:dyDescent="0.45">
      <c r="A151">
        <v>150</v>
      </c>
      <c r="B151" s="4">
        <v>45708</v>
      </c>
      <c r="C151" t="s">
        <v>107</v>
      </c>
      <c r="D151" t="s">
        <v>26</v>
      </c>
      <c r="E151">
        <v>10.552</v>
      </c>
      <c r="G151" s="1"/>
    </row>
    <row r="152" spans="1:9" x14ac:dyDescent="0.45">
      <c r="A152">
        <v>151</v>
      </c>
      <c r="B152" s="4">
        <v>45710</v>
      </c>
      <c r="C152" t="s">
        <v>109</v>
      </c>
      <c r="D152" t="s">
        <v>81</v>
      </c>
      <c r="E152">
        <v>15</v>
      </c>
      <c r="G152" s="1"/>
    </row>
    <row r="153" spans="1:9" x14ac:dyDescent="0.45">
      <c r="A153">
        <v>152</v>
      </c>
      <c r="B153" s="4">
        <v>45713</v>
      </c>
      <c r="C153" t="s">
        <v>48</v>
      </c>
      <c r="D153" t="s">
        <v>80</v>
      </c>
      <c r="E153">
        <v>10</v>
      </c>
      <c r="G153" s="1"/>
    </row>
    <row r="154" spans="1:9" x14ac:dyDescent="0.45">
      <c r="A154">
        <v>153</v>
      </c>
      <c r="B154" s="4">
        <v>45715</v>
      </c>
      <c r="C154" t="s">
        <v>110</v>
      </c>
      <c r="D154" t="s">
        <v>83</v>
      </c>
      <c r="E154">
        <f>1268.1+162</f>
        <v>1430.1</v>
      </c>
      <c r="G154" s="1"/>
    </row>
    <row r="155" spans="1:9" s="2" customFormat="1" x14ac:dyDescent="0.45">
      <c r="A155">
        <v>154</v>
      </c>
      <c r="B155" s="4">
        <v>45715</v>
      </c>
      <c r="C155" t="s">
        <v>45</v>
      </c>
      <c r="D155" t="s">
        <v>84</v>
      </c>
      <c r="E155">
        <v>1500</v>
      </c>
      <c r="F155"/>
      <c r="G155"/>
    </row>
    <row r="156" spans="1:9" x14ac:dyDescent="0.45">
      <c r="A156">
        <v>155</v>
      </c>
      <c r="B156" s="4">
        <v>45715</v>
      </c>
      <c r="C156" t="s">
        <v>111</v>
      </c>
      <c r="D156" t="s">
        <v>81</v>
      </c>
      <c r="E156">
        <v>32</v>
      </c>
      <c r="G156" s="1"/>
    </row>
    <row r="157" spans="1:9" x14ac:dyDescent="0.45">
      <c r="A157">
        <v>156</v>
      </c>
      <c r="B157" s="4">
        <v>45715</v>
      </c>
      <c r="C157" t="s">
        <v>112</v>
      </c>
      <c r="D157" t="s">
        <v>81</v>
      </c>
      <c r="E157">
        <v>32</v>
      </c>
      <c r="G157" s="1"/>
    </row>
    <row r="158" spans="1:9" x14ac:dyDescent="0.45">
      <c r="A158">
        <v>157</v>
      </c>
      <c r="B158" s="4">
        <v>45718</v>
      </c>
      <c r="C158" t="s">
        <v>113</v>
      </c>
      <c r="D158" t="s">
        <v>80</v>
      </c>
      <c r="E158">
        <v>10</v>
      </c>
      <c r="G158" s="1"/>
    </row>
    <row r="159" spans="1:9" x14ac:dyDescent="0.45">
      <c r="A159">
        <v>158</v>
      </c>
      <c r="B159" s="4">
        <v>45719</v>
      </c>
      <c r="C159" t="s">
        <v>114</v>
      </c>
      <c r="D159" t="s">
        <v>81</v>
      </c>
      <c r="E159">
        <v>25</v>
      </c>
      <c r="G159" s="1"/>
    </row>
    <row r="160" spans="1:9" x14ac:dyDescent="0.45">
      <c r="A160">
        <v>159</v>
      </c>
      <c r="B160" s="4">
        <v>45720</v>
      </c>
      <c r="C160" t="s">
        <v>5</v>
      </c>
      <c r="D160" t="s">
        <v>27</v>
      </c>
      <c r="E160">
        <v>150</v>
      </c>
      <c r="G160" s="1"/>
    </row>
    <row r="161" spans="1:7" x14ac:dyDescent="0.45">
      <c r="A161">
        <v>160</v>
      </c>
      <c r="B161" s="4">
        <v>45721</v>
      </c>
      <c r="C161" t="s">
        <v>91</v>
      </c>
      <c r="D161" t="s">
        <v>94</v>
      </c>
      <c r="G161" s="1">
        <v>4940</v>
      </c>
    </row>
    <row r="162" spans="1:7" x14ac:dyDescent="0.45">
      <c r="A162">
        <v>161</v>
      </c>
      <c r="B162" s="4">
        <v>45728</v>
      </c>
      <c r="C162" t="s">
        <v>41</v>
      </c>
      <c r="D162" t="s">
        <v>81</v>
      </c>
      <c r="E162">
        <v>15</v>
      </c>
      <c r="G162" s="1"/>
    </row>
    <row r="163" spans="1:7" x14ac:dyDescent="0.45">
      <c r="A163">
        <v>162</v>
      </c>
      <c r="B163" s="4">
        <v>45731</v>
      </c>
      <c r="C163" t="s">
        <v>115</v>
      </c>
      <c r="D163" t="s">
        <v>26</v>
      </c>
      <c r="E163">
        <v>30</v>
      </c>
      <c r="G163" s="1"/>
    </row>
    <row r="164" spans="1:7" x14ac:dyDescent="0.45">
      <c r="A164">
        <v>163</v>
      </c>
      <c r="B164" s="4">
        <v>45735</v>
      </c>
      <c r="C164" t="s">
        <v>116</v>
      </c>
      <c r="D164" t="s">
        <v>81</v>
      </c>
      <c r="E164">
        <v>15</v>
      </c>
      <c r="G164" s="1"/>
    </row>
    <row r="165" spans="1:7" x14ac:dyDescent="0.45">
      <c r="A165">
        <v>164</v>
      </c>
      <c r="B165" s="4">
        <v>45735</v>
      </c>
      <c r="C165" t="s">
        <v>23</v>
      </c>
      <c r="D165" t="s">
        <v>82</v>
      </c>
      <c r="E165">
        <v>109</v>
      </c>
      <c r="G165" s="1"/>
    </row>
    <row r="166" spans="1:7" x14ac:dyDescent="0.45">
      <c r="A166">
        <v>165</v>
      </c>
      <c r="B166" s="4">
        <v>45736</v>
      </c>
      <c r="C166" t="s">
        <v>56</v>
      </c>
      <c r="D166" t="s">
        <v>85</v>
      </c>
      <c r="E166">
        <v>1663.8</v>
      </c>
      <c r="G166" s="1"/>
    </row>
    <row r="167" spans="1:7" x14ac:dyDescent="0.45">
      <c r="A167">
        <v>166</v>
      </c>
      <c r="B167" s="4">
        <v>45743</v>
      </c>
      <c r="C167" t="s">
        <v>5</v>
      </c>
      <c r="D167" t="s">
        <v>27</v>
      </c>
      <c r="E167">
        <v>170</v>
      </c>
      <c r="G167" s="1"/>
    </row>
    <row r="168" spans="1:7" s="2" customFormat="1" x14ac:dyDescent="0.45">
      <c r="A168">
        <v>167</v>
      </c>
      <c r="B168" s="4">
        <v>45748</v>
      </c>
      <c r="C168" t="s">
        <v>45</v>
      </c>
      <c r="D168" t="s">
        <v>84</v>
      </c>
      <c r="E168">
        <v>1500</v>
      </c>
      <c r="F168"/>
      <c r="G168"/>
    </row>
    <row r="169" spans="1:7" x14ac:dyDescent="0.45">
      <c r="A169">
        <v>168</v>
      </c>
      <c r="B169" s="4">
        <v>45748</v>
      </c>
      <c r="C169" t="s">
        <v>117</v>
      </c>
      <c r="D169" t="s">
        <v>83</v>
      </c>
      <c r="E169">
        <f>1268.1+162</f>
        <v>1430.1</v>
      </c>
      <c r="G169" s="1"/>
    </row>
    <row r="170" spans="1:7" x14ac:dyDescent="0.45">
      <c r="A170">
        <v>169</v>
      </c>
      <c r="B170" s="4">
        <v>45748</v>
      </c>
      <c r="C170" t="s">
        <v>118</v>
      </c>
      <c r="D170" t="s">
        <v>81</v>
      </c>
      <c r="E170">
        <v>25</v>
      </c>
      <c r="G170" s="1"/>
    </row>
    <row r="171" spans="1:7" x14ac:dyDescent="0.45">
      <c r="A171">
        <v>170</v>
      </c>
      <c r="B171" s="4">
        <v>45748</v>
      </c>
      <c r="C171" t="s">
        <v>169</v>
      </c>
      <c r="D171" t="s">
        <v>85</v>
      </c>
      <c r="E171">
        <v>20</v>
      </c>
      <c r="G171" s="1"/>
    </row>
    <row r="172" spans="1:7" x14ac:dyDescent="0.45">
      <c r="A172">
        <v>171</v>
      </c>
      <c r="B172" s="4">
        <v>45748</v>
      </c>
      <c r="C172" t="s">
        <v>170</v>
      </c>
      <c r="D172" t="s">
        <v>85</v>
      </c>
      <c r="E172">
        <v>15</v>
      </c>
      <c r="G172" s="1"/>
    </row>
    <row r="173" spans="1:7" x14ac:dyDescent="0.45">
      <c r="A173">
        <v>172</v>
      </c>
      <c r="B173" s="4">
        <v>45754</v>
      </c>
      <c r="C173" t="s">
        <v>171</v>
      </c>
      <c r="D173" t="s">
        <v>85</v>
      </c>
      <c r="E173">
        <v>171</v>
      </c>
      <c r="G173" s="1"/>
    </row>
    <row r="174" spans="1:7" x14ac:dyDescent="0.45">
      <c r="A174">
        <v>173</v>
      </c>
      <c r="B174" s="4">
        <v>45755</v>
      </c>
      <c r="C174" t="s">
        <v>119</v>
      </c>
      <c r="D174" t="s">
        <v>26</v>
      </c>
      <c r="E174">
        <v>26.8</v>
      </c>
      <c r="G174" s="1"/>
    </row>
    <row r="175" spans="1:7" x14ac:dyDescent="0.45">
      <c r="A175">
        <v>174</v>
      </c>
      <c r="B175" s="4">
        <v>45755</v>
      </c>
      <c r="C175" t="s">
        <v>120</v>
      </c>
      <c r="D175" t="s">
        <v>26</v>
      </c>
      <c r="E175">
        <v>84.53</v>
      </c>
      <c r="G175" s="1"/>
    </row>
    <row r="176" spans="1:7" x14ac:dyDescent="0.45">
      <c r="A176">
        <v>175</v>
      </c>
      <c r="B176" s="4">
        <v>45755</v>
      </c>
      <c r="C176" t="s">
        <v>121</v>
      </c>
      <c r="D176" t="s">
        <v>26</v>
      </c>
      <c r="E176">
        <v>141.15799999999999</v>
      </c>
      <c r="G176" s="1"/>
    </row>
    <row r="177" spans="1:7" x14ac:dyDescent="0.45">
      <c r="A177">
        <v>176</v>
      </c>
      <c r="B177" s="4">
        <v>45755</v>
      </c>
      <c r="C177" t="s">
        <v>173</v>
      </c>
      <c r="D177" t="s">
        <v>85</v>
      </c>
      <c r="E177">
        <v>180</v>
      </c>
      <c r="G177" s="1"/>
    </row>
    <row r="178" spans="1:7" x14ac:dyDescent="0.45">
      <c r="A178">
        <v>177</v>
      </c>
      <c r="B178" s="4">
        <v>45755</v>
      </c>
      <c r="C178" t="s">
        <v>142</v>
      </c>
      <c r="D178" t="s">
        <v>85</v>
      </c>
      <c r="E178">
        <v>90</v>
      </c>
      <c r="G178" s="1"/>
    </row>
    <row r="179" spans="1:7" x14ac:dyDescent="0.45">
      <c r="A179">
        <v>178</v>
      </c>
      <c r="B179" s="4">
        <v>45754</v>
      </c>
      <c r="C179" t="s">
        <v>172</v>
      </c>
      <c r="D179" t="s">
        <v>85</v>
      </c>
      <c r="E179">
        <v>112</v>
      </c>
      <c r="G179" s="1"/>
    </row>
    <row r="180" spans="1:7" x14ac:dyDescent="0.45">
      <c r="A180">
        <v>179</v>
      </c>
      <c r="B180" s="4">
        <v>45736</v>
      </c>
      <c r="C180" t="s">
        <v>93</v>
      </c>
      <c r="D180" t="s">
        <v>95</v>
      </c>
      <c r="F180">
        <f>SUM(E158:E167)</f>
        <v>2187.8000000000002</v>
      </c>
      <c r="G180" s="1"/>
    </row>
    <row r="181" spans="1:7" x14ac:dyDescent="0.45">
      <c r="A181">
        <v>180</v>
      </c>
      <c r="B181" s="4">
        <v>45757</v>
      </c>
      <c r="C181" t="s">
        <v>91</v>
      </c>
      <c r="D181" t="s">
        <v>94</v>
      </c>
      <c r="G181" s="1">
        <v>7000</v>
      </c>
    </row>
    <row r="182" spans="1:7" x14ac:dyDescent="0.45">
      <c r="A182">
        <v>181</v>
      </c>
      <c r="B182" s="4">
        <v>45754</v>
      </c>
      <c r="C182" t="s">
        <v>174</v>
      </c>
      <c r="D182" t="s">
        <v>85</v>
      </c>
      <c r="E182">
        <v>31</v>
      </c>
      <c r="G182" s="1"/>
    </row>
    <row r="183" spans="1:7" x14ac:dyDescent="0.45">
      <c r="A183">
        <v>182</v>
      </c>
      <c r="B183" s="4">
        <v>45762</v>
      </c>
      <c r="C183" t="s">
        <v>122</v>
      </c>
      <c r="D183" t="s">
        <v>85</v>
      </c>
      <c r="E183">
        <v>2650</v>
      </c>
      <c r="G183" s="1"/>
    </row>
    <row r="184" spans="1:7" x14ac:dyDescent="0.45">
      <c r="A184">
        <v>183</v>
      </c>
      <c r="B184" s="4">
        <v>45762</v>
      </c>
      <c r="C184" t="s">
        <v>122</v>
      </c>
      <c r="D184" t="s">
        <v>26</v>
      </c>
      <c r="E184">
        <v>42.265000000000001</v>
      </c>
      <c r="G184" s="1"/>
    </row>
    <row r="185" spans="1:7" x14ac:dyDescent="0.45">
      <c r="A185">
        <v>184</v>
      </c>
      <c r="B185" s="4">
        <v>45761</v>
      </c>
      <c r="C185" t="s">
        <v>123</v>
      </c>
      <c r="D185" t="s">
        <v>80</v>
      </c>
      <c r="E185">
        <v>32</v>
      </c>
      <c r="G185" s="1"/>
    </row>
    <row r="186" spans="1:7" x14ac:dyDescent="0.45">
      <c r="A186">
        <v>185</v>
      </c>
      <c r="B186" s="4">
        <v>45762</v>
      </c>
      <c r="C186" t="s">
        <v>124</v>
      </c>
      <c r="D186" t="s">
        <v>85</v>
      </c>
      <c r="E186">
        <v>295.09300000000002</v>
      </c>
      <c r="G186" s="1"/>
    </row>
    <row r="187" spans="1:7" x14ac:dyDescent="0.45">
      <c r="A187">
        <v>186</v>
      </c>
      <c r="B187" s="4">
        <v>45762</v>
      </c>
      <c r="C187" t="s">
        <v>125</v>
      </c>
      <c r="D187" t="s">
        <v>87</v>
      </c>
      <c r="E187">
        <v>313.99</v>
      </c>
      <c r="G187" s="1"/>
    </row>
    <row r="188" spans="1:7" x14ac:dyDescent="0.45">
      <c r="A188">
        <v>187</v>
      </c>
      <c r="B188" s="4">
        <v>45764</v>
      </c>
      <c r="C188" t="s">
        <v>126</v>
      </c>
      <c r="D188" t="s">
        <v>85</v>
      </c>
      <c r="E188">
        <v>15</v>
      </c>
      <c r="G188" s="1"/>
    </row>
    <row r="189" spans="1:7" x14ac:dyDescent="0.45">
      <c r="A189">
        <v>188</v>
      </c>
      <c r="B189" s="4">
        <v>45767</v>
      </c>
      <c r="C189" t="s">
        <v>127</v>
      </c>
      <c r="D189" t="s">
        <v>80</v>
      </c>
      <c r="E189">
        <v>50</v>
      </c>
      <c r="G189" s="1"/>
    </row>
    <row r="190" spans="1:7" x14ac:dyDescent="0.45">
      <c r="A190">
        <v>189</v>
      </c>
      <c r="B190" s="4">
        <v>45768</v>
      </c>
      <c r="C190" t="s">
        <v>128</v>
      </c>
      <c r="D190" t="s">
        <v>81</v>
      </c>
      <c r="E190">
        <v>927.5</v>
      </c>
      <c r="G190" s="1"/>
    </row>
    <row r="191" spans="1:7" x14ac:dyDescent="0.45">
      <c r="A191">
        <v>190</v>
      </c>
      <c r="B191" s="4">
        <v>45768</v>
      </c>
      <c r="C191" t="s">
        <v>129</v>
      </c>
      <c r="D191" t="s">
        <v>81</v>
      </c>
      <c r="E191">
        <v>25</v>
      </c>
      <c r="G191" s="1"/>
    </row>
    <row r="192" spans="1:7" x14ac:dyDescent="0.45">
      <c r="A192">
        <v>191</v>
      </c>
      <c r="B192" s="4">
        <v>45768</v>
      </c>
      <c r="C192" t="s">
        <v>130</v>
      </c>
      <c r="D192" t="s">
        <v>80</v>
      </c>
      <c r="E192">
        <v>80</v>
      </c>
      <c r="G192" s="1"/>
    </row>
    <row r="193" spans="1:7" x14ac:dyDescent="0.45">
      <c r="A193">
        <v>192</v>
      </c>
      <c r="B193" s="4">
        <v>45772</v>
      </c>
      <c r="C193" t="s">
        <v>131</v>
      </c>
      <c r="D193" t="s">
        <v>85</v>
      </c>
      <c r="E193">
        <v>10</v>
      </c>
      <c r="G193" s="1"/>
    </row>
    <row r="194" spans="1:7" x14ac:dyDescent="0.45">
      <c r="A194">
        <v>193</v>
      </c>
      <c r="B194" s="4">
        <v>45773</v>
      </c>
      <c r="C194" t="s">
        <v>132</v>
      </c>
      <c r="D194" t="s">
        <v>85</v>
      </c>
      <c r="E194">
        <v>25</v>
      </c>
      <c r="G194" s="1"/>
    </row>
    <row r="195" spans="1:7" x14ac:dyDescent="0.45">
      <c r="A195">
        <v>194</v>
      </c>
      <c r="B195" s="4">
        <v>45773</v>
      </c>
      <c r="C195" t="s">
        <v>133</v>
      </c>
      <c r="D195" t="s">
        <v>85</v>
      </c>
      <c r="E195">
        <v>35</v>
      </c>
      <c r="G195" s="1"/>
    </row>
    <row r="196" spans="1:7" x14ac:dyDescent="0.45">
      <c r="A196">
        <v>195</v>
      </c>
      <c r="B196" s="4">
        <v>45774</v>
      </c>
      <c r="C196" t="s">
        <v>134</v>
      </c>
      <c r="D196" t="s">
        <v>85</v>
      </c>
      <c r="E196">
        <v>100</v>
      </c>
      <c r="G196" s="1"/>
    </row>
    <row r="197" spans="1:7" x14ac:dyDescent="0.45">
      <c r="A197">
        <v>196</v>
      </c>
      <c r="B197" s="4">
        <v>45774</v>
      </c>
      <c r="C197" t="s">
        <v>93</v>
      </c>
      <c r="D197" t="s">
        <v>95</v>
      </c>
      <c r="F197" s="2">
        <f>SUM(E168:E198)</f>
        <v>8613.4359999999997</v>
      </c>
      <c r="G197" s="1"/>
    </row>
    <row r="198" spans="1:7" x14ac:dyDescent="0.45">
      <c r="A198">
        <v>197</v>
      </c>
      <c r="B198" s="4">
        <v>45776</v>
      </c>
      <c r="C198" t="s">
        <v>135</v>
      </c>
      <c r="D198" t="s">
        <v>85</v>
      </c>
      <c r="E198">
        <v>186</v>
      </c>
      <c r="G198" s="1"/>
    </row>
    <row r="199" spans="1:7" x14ac:dyDescent="0.45">
      <c r="A199">
        <v>198</v>
      </c>
      <c r="B199" s="4">
        <v>45778</v>
      </c>
      <c r="C199" t="s">
        <v>93</v>
      </c>
      <c r="D199" t="s">
        <v>95</v>
      </c>
      <c r="F199">
        <f>SUM(E200:E233)</f>
        <v>6677.947000000001</v>
      </c>
      <c r="G199" s="1"/>
    </row>
    <row r="200" spans="1:7" x14ac:dyDescent="0.45">
      <c r="A200">
        <v>199</v>
      </c>
      <c r="B200" s="4">
        <v>45778</v>
      </c>
      <c r="C200" t="s">
        <v>5</v>
      </c>
      <c r="D200" t="s">
        <v>27</v>
      </c>
      <c r="E200">
        <v>150</v>
      </c>
      <c r="G200" s="1"/>
    </row>
    <row r="201" spans="1:7" s="3" customFormat="1" x14ac:dyDescent="0.45">
      <c r="A201">
        <v>200</v>
      </c>
      <c r="B201" s="5">
        <v>45779</v>
      </c>
      <c r="C201" s="6" t="s">
        <v>136</v>
      </c>
      <c r="D201" s="6" t="s">
        <v>84</v>
      </c>
      <c r="E201" s="6">
        <v>1500</v>
      </c>
      <c r="F201" s="6"/>
      <c r="G201" s="6"/>
    </row>
    <row r="202" spans="1:7" x14ac:dyDescent="0.45">
      <c r="A202">
        <v>201</v>
      </c>
      <c r="B202" s="4">
        <v>45778</v>
      </c>
      <c r="C202" t="s">
        <v>137</v>
      </c>
      <c r="D202" t="s">
        <v>83</v>
      </c>
      <c r="E202">
        <f>1268.1+162</f>
        <v>1430.1</v>
      </c>
      <c r="G202" s="1"/>
    </row>
    <row r="203" spans="1:7" x14ac:dyDescent="0.45">
      <c r="A203">
        <v>202</v>
      </c>
      <c r="B203" s="4">
        <v>45778</v>
      </c>
      <c r="C203" t="s">
        <v>138</v>
      </c>
      <c r="D203" t="s">
        <v>85</v>
      </c>
      <c r="E203">
        <v>120</v>
      </c>
      <c r="G203" s="1"/>
    </row>
    <row r="204" spans="1:7" x14ac:dyDescent="0.45">
      <c r="A204">
        <v>203</v>
      </c>
      <c r="B204" s="4">
        <v>45779</v>
      </c>
      <c r="C204" t="s">
        <v>139</v>
      </c>
      <c r="D204" t="s">
        <v>80</v>
      </c>
      <c r="E204">
        <v>125</v>
      </c>
      <c r="G204" s="1"/>
    </row>
    <row r="205" spans="1:7" x14ac:dyDescent="0.45">
      <c r="A205">
        <v>204</v>
      </c>
      <c r="B205" s="4">
        <v>45778</v>
      </c>
      <c r="C205" t="s">
        <v>140</v>
      </c>
      <c r="D205" t="s">
        <v>85</v>
      </c>
      <c r="E205">
        <v>180</v>
      </c>
      <c r="G205" s="1"/>
    </row>
    <row r="206" spans="1:7" x14ac:dyDescent="0.45">
      <c r="A206">
        <v>205</v>
      </c>
      <c r="B206" s="4">
        <v>45782</v>
      </c>
      <c r="C206" t="s">
        <v>141</v>
      </c>
      <c r="D206" t="s">
        <v>81</v>
      </c>
      <c r="E206">
        <v>25</v>
      </c>
      <c r="G206" s="1"/>
    </row>
    <row r="207" spans="1:7" x14ac:dyDescent="0.45">
      <c r="A207">
        <v>206</v>
      </c>
      <c r="B207" s="4">
        <v>45782</v>
      </c>
      <c r="C207" t="s">
        <v>142</v>
      </c>
      <c r="D207" t="s">
        <v>85</v>
      </c>
      <c r="E207">
        <v>60</v>
      </c>
      <c r="G207" s="1"/>
    </row>
    <row r="208" spans="1:7" x14ac:dyDescent="0.45">
      <c r="A208">
        <v>207</v>
      </c>
      <c r="B208" s="4">
        <v>45783</v>
      </c>
      <c r="C208" t="s">
        <v>143</v>
      </c>
      <c r="D208" t="s">
        <v>85</v>
      </c>
      <c r="E208">
        <v>11</v>
      </c>
      <c r="G208" s="1"/>
    </row>
    <row r="209" spans="1:7" x14ac:dyDescent="0.45">
      <c r="A209">
        <v>208</v>
      </c>
      <c r="B209" s="4">
        <v>45785</v>
      </c>
      <c r="C209" t="s">
        <v>144</v>
      </c>
      <c r="D209" t="s">
        <v>85</v>
      </c>
      <c r="E209">
        <v>650</v>
      </c>
      <c r="G209" s="1"/>
    </row>
    <row r="210" spans="1:7" x14ac:dyDescent="0.45">
      <c r="A210">
        <v>209</v>
      </c>
      <c r="B210" s="4">
        <v>45785</v>
      </c>
      <c r="C210" t="s">
        <v>145</v>
      </c>
      <c r="D210" t="s">
        <v>85</v>
      </c>
      <c r="E210">
        <v>84</v>
      </c>
      <c r="G210" s="1"/>
    </row>
    <row r="211" spans="1:7" x14ac:dyDescent="0.45">
      <c r="A211">
        <v>210</v>
      </c>
      <c r="B211" s="4">
        <v>45785</v>
      </c>
      <c r="C211" t="s">
        <v>146</v>
      </c>
      <c r="D211" t="s">
        <v>85</v>
      </c>
      <c r="E211">
        <v>140</v>
      </c>
      <c r="G211" s="1"/>
    </row>
    <row r="212" spans="1:7" x14ac:dyDescent="0.45">
      <c r="A212">
        <v>211</v>
      </c>
      <c r="B212" s="4">
        <v>45785</v>
      </c>
      <c r="C212" t="s">
        <v>91</v>
      </c>
      <c r="D212" t="s">
        <v>94</v>
      </c>
      <c r="G212" s="1">
        <v>4560</v>
      </c>
    </row>
    <row r="213" spans="1:7" x14ac:dyDescent="0.45">
      <c r="A213">
        <v>212</v>
      </c>
      <c r="B213" s="4">
        <v>45786</v>
      </c>
      <c r="C213" t="s">
        <v>147</v>
      </c>
      <c r="D213" t="s">
        <v>85</v>
      </c>
      <c r="E213">
        <v>12</v>
      </c>
      <c r="G213" s="1"/>
    </row>
    <row r="214" spans="1:7" x14ac:dyDescent="0.45">
      <c r="A214">
        <v>213</v>
      </c>
      <c r="B214" s="4">
        <v>45790</v>
      </c>
      <c r="C214" t="s">
        <v>148</v>
      </c>
      <c r="D214" t="s">
        <v>85</v>
      </c>
      <c r="E214">
        <v>496.65</v>
      </c>
      <c r="G214" s="1"/>
    </row>
    <row r="215" spans="1:7" x14ac:dyDescent="0.45">
      <c r="A215">
        <v>214</v>
      </c>
      <c r="B215" s="4">
        <v>45791</v>
      </c>
      <c r="C215" t="s">
        <v>149</v>
      </c>
      <c r="D215" t="s">
        <v>81</v>
      </c>
      <c r="E215">
        <v>15</v>
      </c>
      <c r="G215" s="1"/>
    </row>
    <row r="216" spans="1:7" x14ac:dyDescent="0.45">
      <c r="A216">
        <v>215</v>
      </c>
      <c r="B216" s="4">
        <v>45792</v>
      </c>
      <c r="C216" t="s">
        <v>150</v>
      </c>
      <c r="D216" t="s">
        <v>85</v>
      </c>
      <c r="E216">
        <v>61.5</v>
      </c>
      <c r="G216" s="1"/>
    </row>
    <row r="217" spans="1:7" x14ac:dyDescent="0.45">
      <c r="A217">
        <v>216</v>
      </c>
      <c r="B217" s="4">
        <v>45792</v>
      </c>
      <c r="C217" t="s">
        <v>151</v>
      </c>
      <c r="D217" t="s">
        <v>85</v>
      </c>
      <c r="E217">
        <v>60</v>
      </c>
      <c r="G217" s="1"/>
    </row>
    <row r="218" spans="1:7" x14ac:dyDescent="0.45">
      <c r="A218">
        <v>217</v>
      </c>
      <c r="B218" s="4">
        <v>45796</v>
      </c>
      <c r="C218" t="s">
        <v>152</v>
      </c>
      <c r="D218" t="s">
        <v>85</v>
      </c>
      <c r="E218">
        <v>300</v>
      </c>
      <c r="G218" s="1"/>
    </row>
    <row r="219" spans="1:7" x14ac:dyDescent="0.45">
      <c r="A219">
        <v>218</v>
      </c>
      <c r="B219" s="4">
        <v>45796</v>
      </c>
      <c r="C219" t="s">
        <v>153</v>
      </c>
      <c r="D219" t="s">
        <v>81</v>
      </c>
      <c r="E219">
        <v>100</v>
      </c>
      <c r="G219" s="1"/>
    </row>
    <row r="220" spans="1:7" x14ac:dyDescent="0.45">
      <c r="A220">
        <v>219</v>
      </c>
      <c r="B220" s="4">
        <v>45797</v>
      </c>
      <c r="C220" t="s">
        <v>153</v>
      </c>
      <c r="D220" t="s">
        <v>81</v>
      </c>
      <c r="E220">
        <v>65</v>
      </c>
      <c r="G220" s="1"/>
    </row>
    <row r="221" spans="1:7" x14ac:dyDescent="0.45">
      <c r="A221">
        <v>220</v>
      </c>
      <c r="B221" s="4">
        <v>45797</v>
      </c>
      <c r="C221" t="s">
        <v>154</v>
      </c>
      <c r="D221" t="s">
        <v>81</v>
      </c>
      <c r="E221">
        <v>15</v>
      </c>
      <c r="G221" s="1"/>
    </row>
    <row r="222" spans="1:7" x14ac:dyDescent="0.45">
      <c r="A222">
        <v>221</v>
      </c>
      <c r="B222" s="4">
        <v>45798</v>
      </c>
      <c r="C222" t="s">
        <v>155</v>
      </c>
      <c r="D222" t="s">
        <v>81</v>
      </c>
      <c r="E222">
        <v>95</v>
      </c>
      <c r="G222" s="1"/>
    </row>
    <row r="223" spans="1:7" x14ac:dyDescent="0.45">
      <c r="A223">
        <v>222</v>
      </c>
      <c r="B223" s="4">
        <v>45798</v>
      </c>
      <c r="C223" t="s">
        <v>156</v>
      </c>
      <c r="D223" t="s">
        <v>81</v>
      </c>
      <c r="E223">
        <v>20</v>
      </c>
      <c r="G223" s="1"/>
    </row>
    <row r="224" spans="1:7" x14ac:dyDescent="0.45">
      <c r="A224">
        <v>223</v>
      </c>
      <c r="B224" s="4">
        <v>45798</v>
      </c>
      <c r="C224" t="s">
        <v>157</v>
      </c>
      <c r="D224" t="s">
        <v>80</v>
      </c>
      <c r="E224">
        <v>20</v>
      </c>
      <c r="G224" s="1"/>
    </row>
    <row r="225" spans="1:7" x14ac:dyDescent="0.45">
      <c r="A225">
        <v>224</v>
      </c>
      <c r="B225" s="4">
        <v>45804</v>
      </c>
      <c r="C225" t="s">
        <v>158</v>
      </c>
      <c r="D225" t="s">
        <v>85</v>
      </c>
      <c r="E225">
        <v>380.1</v>
      </c>
      <c r="G225" s="1"/>
    </row>
    <row r="226" spans="1:7" x14ac:dyDescent="0.45">
      <c r="A226">
        <v>225</v>
      </c>
      <c r="B226" s="4">
        <v>45804</v>
      </c>
      <c r="C226" t="s">
        <v>159</v>
      </c>
      <c r="D226" t="s">
        <v>87</v>
      </c>
      <c r="E226">
        <v>102.39</v>
      </c>
      <c r="G226" s="1"/>
    </row>
    <row r="227" spans="1:7" x14ac:dyDescent="0.45">
      <c r="A227">
        <v>226</v>
      </c>
      <c r="B227" s="4">
        <v>45804</v>
      </c>
      <c r="C227" t="s">
        <v>91</v>
      </c>
      <c r="D227" t="s">
        <v>94</v>
      </c>
      <c r="G227" s="1">
        <v>2120</v>
      </c>
    </row>
    <row r="228" spans="1:7" x14ac:dyDescent="0.45">
      <c r="A228">
        <v>227</v>
      </c>
      <c r="B228" s="4">
        <v>45805</v>
      </c>
      <c r="C228" t="s">
        <v>160</v>
      </c>
      <c r="D228" t="s">
        <v>85</v>
      </c>
      <c r="E228">
        <v>38</v>
      </c>
      <c r="G228" s="1"/>
    </row>
    <row r="229" spans="1:7" x14ac:dyDescent="0.45">
      <c r="A229">
        <v>228</v>
      </c>
      <c r="B229" s="4">
        <v>45806</v>
      </c>
      <c r="C229" t="s">
        <v>161</v>
      </c>
      <c r="D229" t="s">
        <v>26</v>
      </c>
      <c r="E229">
        <v>42.265000000000001</v>
      </c>
      <c r="G229" s="1"/>
    </row>
    <row r="230" spans="1:7" x14ac:dyDescent="0.45">
      <c r="A230">
        <v>229</v>
      </c>
      <c r="B230" s="4">
        <v>45806</v>
      </c>
      <c r="C230" t="s">
        <v>162</v>
      </c>
      <c r="D230" t="s">
        <v>26</v>
      </c>
      <c r="E230">
        <v>333.44200000000001</v>
      </c>
      <c r="G230" s="1"/>
    </row>
    <row r="231" spans="1:7" x14ac:dyDescent="0.45">
      <c r="A231">
        <v>230</v>
      </c>
      <c r="B231" s="4">
        <v>45806</v>
      </c>
      <c r="C231" t="s">
        <v>115</v>
      </c>
      <c r="D231" t="s">
        <v>26</v>
      </c>
      <c r="E231">
        <v>10</v>
      </c>
      <c r="G231" s="1"/>
    </row>
    <row r="232" spans="1:7" x14ac:dyDescent="0.45">
      <c r="A232">
        <v>231</v>
      </c>
      <c r="B232" s="4">
        <v>45806</v>
      </c>
      <c r="C232" t="s">
        <v>163</v>
      </c>
      <c r="D232" t="s">
        <v>80</v>
      </c>
      <c r="E232">
        <v>11.5</v>
      </c>
      <c r="G232" s="1"/>
    </row>
    <row r="233" spans="1:7" x14ac:dyDescent="0.45">
      <c r="A233">
        <v>232</v>
      </c>
      <c r="B233" s="4">
        <v>45808</v>
      </c>
      <c r="C233" t="s">
        <v>164</v>
      </c>
      <c r="D233" t="s">
        <v>85</v>
      </c>
      <c r="E233">
        <v>25</v>
      </c>
      <c r="G233" s="1"/>
    </row>
    <row r="234" spans="1:7" x14ac:dyDescent="0.45">
      <c r="A234">
        <v>233</v>
      </c>
      <c r="B234" s="4">
        <v>45809</v>
      </c>
      <c r="C234" t="s">
        <v>93</v>
      </c>
      <c r="D234" t="s">
        <v>95</v>
      </c>
      <c r="F234">
        <f>SUM(E235:E262)</f>
        <v>5513.924</v>
      </c>
      <c r="G234" s="1"/>
    </row>
    <row r="235" spans="1:7" x14ac:dyDescent="0.45">
      <c r="A235">
        <v>234</v>
      </c>
      <c r="B235" s="4">
        <v>45809</v>
      </c>
      <c r="C235" t="s">
        <v>5</v>
      </c>
      <c r="D235" t="s">
        <v>27</v>
      </c>
      <c r="E235">
        <v>150</v>
      </c>
      <c r="G235" s="1"/>
    </row>
    <row r="236" spans="1:7" s="2" customFormat="1" x14ac:dyDescent="0.45">
      <c r="A236">
        <v>235</v>
      </c>
      <c r="B236" s="4">
        <v>45809</v>
      </c>
      <c r="C236" t="s">
        <v>136</v>
      </c>
      <c r="D236" t="s">
        <v>84</v>
      </c>
      <c r="E236">
        <v>1500</v>
      </c>
      <c r="F236"/>
      <c r="G236"/>
    </row>
    <row r="237" spans="1:7" x14ac:dyDescent="0.45">
      <c r="A237">
        <v>236</v>
      </c>
      <c r="B237" s="4">
        <v>45809</v>
      </c>
      <c r="C237" t="s">
        <v>165</v>
      </c>
      <c r="D237" t="s">
        <v>83</v>
      </c>
      <c r="E237">
        <f>1268.1+162</f>
        <v>1430.1</v>
      </c>
      <c r="G237" s="1"/>
    </row>
    <row r="238" spans="1:7" x14ac:dyDescent="0.45">
      <c r="A238">
        <v>237</v>
      </c>
      <c r="B238" s="4">
        <v>45810</v>
      </c>
      <c r="C238" t="s">
        <v>166</v>
      </c>
      <c r="D238" t="s">
        <v>81</v>
      </c>
      <c r="E238">
        <v>35</v>
      </c>
      <c r="G238" s="1"/>
    </row>
    <row r="239" spans="1:7" x14ac:dyDescent="0.45">
      <c r="A239">
        <v>238</v>
      </c>
      <c r="B239" s="4">
        <v>45810</v>
      </c>
      <c r="C239" t="s">
        <v>91</v>
      </c>
      <c r="D239" t="s">
        <v>94</v>
      </c>
      <c r="G239" s="1">
        <v>3190</v>
      </c>
    </row>
    <row r="240" spans="1:7" x14ac:dyDescent="0.45">
      <c r="A240">
        <v>239</v>
      </c>
      <c r="B240" s="4">
        <v>45810</v>
      </c>
      <c r="C240" t="s">
        <v>167</v>
      </c>
      <c r="D240" t="s">
        <v>85</v>
      </c>
      <c r="E240">
        <v>332.04199999999997</v>
      </c>
      <c r="G240" s="1"/>
    </row>
    <row r="241" spans="1:7" x14ac:dyDescent="0.45">
      <c r="A241">
        <v>240</v>
      </c>
      <c r="B241" s="4">
        <v>45810</v>
      </c>
      <c r="C241" t="s">
        <v>168</v>
      </c>
      <c r="D241" t="s">
        <v>85</v>
      </c>
      <c r="E241">
        <v>110</v>
      </c>
      <c r="G241" s="1"/>
    </row>
    <row r="242" spans="1:7" x14ac:dyDescent="0.45">
      <c r="A242">
        <v>241</v>
      </c>
      <c r="B242" s="4">
        <v>45810</v>
      </c>
      <c r="C242" t="s">
        <v>91</v>
      </c>
      <c r="D242" t="s">
        <v>94</v>
      </c>
      <c r="G242">
        <v>5470</v>
      </c>
    </row>
    <row r="243" spans="1:7" x14ac:dyDescent="0.45">
      <c r="A243">
        <v>242</v>
      </c>
      <c r="B243" s="4">
        <v>45812</v>
      </c>
      <c r="C243" t="s">
        <v>142</v>
      </c>
      <c r="D243" t="s">
        <v>85</v>
      </c>
      <c r="E243">
        <v>60</v>
      </c>
      <c r="G243" s="1"/>
    </row>
    <row r="244" spans="1:7" x14ac:dyDescent="0.45">
      <c r="A244">
        <v>243</v>
      </c>
      <c r="B244" s="4">
        <v>45812</v>
      </c>
      <c r="C244" t="s">
        <v>175</v>
      </c>
      <c r="D244" t="s">
        <v>85</v>
      </c>
      <c r="E244">
        <v>16</v>
      </c>
      <c r="G244" s="1"/>
    </row>
    <row r="245" spans="1:7" x14ac:dyDescent="0.45">
      <c r="A245">
        <v>244</v>
      </c>
      <c r="B245" s="4">
        <v>45816</v>
      </c>
      <c r="C245" t="s">
        <v>176</v>
      </c>
      <c r="D245" t="s">
        <v>85</v>
      </c>
      <c r="E245">
        <v>10</v>
      </c>
      <c r="G245" s="1"/>
    </row>
    <row r="246" spans="1:7" x14ac:dyDescent="0.45">
      <c r="A246">
        <v>245</v>
      </c>
      <c r="B246" s="4">
        <v>45817</v>
      </c>
      <c r="C246" t="s">
        <v>177</v>
      </c>
      <c r="D246" t="s">
        <v>85</v>
      </c>
      <c r="E246">
        <v>25</v>
      </c>
      <c r="G246" s="1"/>
    </row>
    <row r="247" spans="1:7" x14ac:dyDescent="0.45">
      <c r="A247">
        <v>246</v>
      </c>
      <c r="B247" s="4">
        <v>45817</v>
      </c>
      <c r="C247" t="s">
        <v>138</v>
      </c>
      <c r="D247" t="s">
        <v>85</v>
      </c>
      <c r="E247">
        <v>120</v>
      </c>
      <c r="G247" s="1"/>
    </row>
    <row r="248" spans="1:7" x14ac:dyDescent="0.45">
      <c r="A248">
        <v>247</v>
      </c>
      <c r="B248" s="4">
        <v>45817</v>
      </c>
      <c r="C248" t="s">
        <v>178</v>
      </c>
      <c r="D248" t="s">
        <v>85</v>
      </c>
      <c r="E248">
        <v>140</v>
      </c>
      <c r="G248" s="1"/>
    </row>
    <row r="249" spans="1:7" x14ac:dyDescent="0.45">
      <c r="A249">
        <v>248</v>
      </c>
      <c r="B249" s="4">
        <v>45817</v>
      </c>
      <c r="C249" t="s">
        <v>179</v>
      </c>
      <c r="D249" t="s">
        <v>85</v>
      </c>
      <c r="E249">
        <v>120</v>
      </c>
      <c r="G249" s="1"/>
    </row>
    <row r="250" spans="1:7" x14ac:dyDescent="0.45">
      <c r="A250">
        <v>249</v>
      </c>
      <c r="B250" s="4">
        <v>45819</v>
      </c>
      <c r="C250" t="s">
        <v>180</v>
      </c>
      <c r="D250" t="s">
        <v>85</v>
      </c>
      <c r="E250">
        <v>72.954999999999998</v>
      </c>
      <c r="G250" s="1"/>
    </row>
    <row r="251" spans="1:7" x14ac:dyDescent="0.45">
      <c r="A251">
        <v>250</v>
      </c>
      <c r="B251" s="4">
        <v>45820</v>
      </c>
      <c r="C251" t="s">
        <v>181</v>
      </c>
      <c r="D251" t="s">
        <v>81</v>
      </c>
      <c r="E251">
        <v>375</v>
      </c>
      <c r="G251" s="1"/>
    </row>
    <row r="252" spans="1:7" x14ac:dyDescent="0.45">
      <c r="A252">
        <v>251</v>
      </c>
      <c r="B252" s="4">
        <v>45820</v>
      </c>
      <c r="C252" t="s">
        <v>182</v>
      </c>
      <c r="D252" t="s">
        <v>81</v>
      </c>
      <c r="E252">
        <v>15</v>
      </c>
      <c r="G252" s="1"/>
    </row>
    <row r="253" spans="1:7" x14ac:dyDescent="0.45">
      <c r="A253">
        <v>252</v>
      </c>
      <c r="B253" s="4">
        <v>45821</v>
      </c>
      <c r="C253" t="s">
        <v>183</v>
      </c>
      <c r="D253" t="s">
        <v>85</v>
      </c>
      <c r="E253">
        <v>5</v>
      </c>
      <c r="G253" s="1"/>
    </row>
    <row r="254" spans="1:7" x14ac:dyDescent="0.45">
      <c r="A254">
        <v>253</v>
      </c>
      <c r="B254" s="4">
        <v>45821</v>
      </c>
      <c r="C254" t="s">
        <v>149</v>
      </c>
      <c r="D254" t="s">
        <v>85</v>
      </c>
      <c r="E254">
        <v>20</v>
      </c>
      <c r="G254" s="1"/>
    </row>
    <row r="255" spans="1:7" x14ac:dyDescent="0.45">
      <c r="A255">
        <v>254</v>
      </c>
      <c r="B255" s="4">
        <v>45823</v>
      </c>
      <c r="C255" t="s">
        <v>184</v>
      </c>
      <c r="D255" t="s">
        <v>82</v>
      </c>
      <c r="E255">
        <v>101.8</v>
      </c>
      <c r="G255" s="1"/>
    </row>
    <row r="256" spans="1:7" x14ac:dyDescent="0.45">
      <c r="A256">
        <v>255</v>
      </c>
      <c r="B256" s="4">
        <v>45828</v>
      </c>
      <c r="C256" t="s">
        <v>185</v>
      </c>
      <c r="D256" t="s">
        <v>81</v>
      </c>
      <c r="E256">
        <v>100</v>
      </c>
      <c r="G256" s="1"/>
    </row>
    <row r="257" spans="1:7" x14ac:dyDescent="0.45">
      <c r="A257">
        <v>256</v>
      </c>
      <c r="B257" s="4">
        <v>45828</v>
      </c>
      <c r="C257" t="s">
        <v>186</v>
      </c>
      <c r="D257" t="s">
        <v>81</v>
      </c>
      <c r="E257">
        <v>20</v>
      </c>
      <c r="G257" s="1"/>
    </row>
    <row r="258" spans="1:7" x14ac:dyDescent="0.45">
      <c r="A258">
        <v>257</v>
      </c>
      <c r="B258" s="4">
        <v>45831</v>
      </c>
      <c r="C258" t="s">
        <v>187</v>
      </c>
      <c r="D258" t="s">
        <v>81</v>
      </c>
      <c r="E258">
        <v>25</v>
      </c>
      <c r="G258" s="1"/>
    </row>
    <row r="259" spans="1:7" x14ac:dyDescent="0.45">
      <c r="A259">
        <v>258</v>
      </c>
      <c r="B259" s="4">
        <v>45831</v>
      </c>
      <c r="C259" t="s">
        <v>168</v>
      </c>
      <c r="D259" t="s">
        <v>81</v>
      </c>
      <c r="E259">
        <v>31</v>
      </c>
      <c r="G259" s="1"/>
    </row>
    <row r="260" spans="1:7" x14ac:dyDescent="0.45">
      <c r="A260">
        <v>259</v>
      </c>
      <c r="B260" s="4">
        <v>45833</v>
      </c>
      <c r="C260" t="s">
        <v>188</v>
      </c>
      <c r="D260" t="s">
        <v>85</v>
      </c>
      <c r="E260">
        <v>638.47400000000005</v>
      </c>
      <c r="G260" s="1"/>
    </row>
    <row r="261" spans="1:7" x14ac:dyDescent="0.45">
      <c r="A261">
        <v>260</v>
      </c>
      <c r="B261" s="4">
        <v>45838</v>
      </c>
      <c r="C261" t="s">
        <v>189</v>
      </c>
      <c r="D261" t="s">
        <v>85</v>
      </c>
      <c r="E261">
        <v>41</v>
      </c>
      <c r="G261" s="1"/>
    </row>
    <row r="262" spans="1:7" x14ac:dyDescent="0.45">
      <c r="A262">
        <v>261</v>
      </c>
      <c r="B262" s="4">
        <v>45838</v>
      </c>
      <c r="C262" t="s">
        <v>190</v>
      </c>
      <c r="D262" t="s">
        <v>85</v>
      </c>
      <c r="E262">
        <v>20.553000000000001</v>
      </c>
      <c r="G262" s="1"/>
    </row>
    <row r="263" spans="1:7" x14ac:dyDescent="0.45">
      <c r="A263">
        <v>262</v>
      </c>
      <c r="B263" s="4">
        <v>45839</v>
      </c>
      <c r="C263" t="s">
        <v>93</v>
      </c>
      <c r="D263" t="s">
        <v>95</v>
      </c>
      <c r="F263">
        <f>SUM(E263:E288)</f>
        <v>8983.3410000000003</v>
      </c>
      <c r="G263" s="1"/>
    </row>
    <row r="264" spans="1:7" x14ac:dyDescent="0.45">
      <c r="A264">
        <v>263</v>
      </c>
      <c r="B264" s="4">
        <v>45840</v>
      </c>
      <c r="C264" t="s">
        <v>91</v>
      </c>
      <c r="D264" t="s">
        <v>94</v>
      </c>
      <c r="G264" s="1">
        <v>8190</v>
      </c>
    </row>
    <row r="265" spans="1:7" x14ac:dyDescent="0.45">
      <c r="A265">
        <v>264</v>
      </c>
      <c r="B265" s="4">
        <v>45839</v>
      </c>
      <c r="C265" t="s">
        <v>191</v>
      </c>
      <c r="D265" t="s">
        <v>27</v>
      </c>
      <c r="E265">
        <v>475</v>
      </c>
      <c r="G265" s="1"/>
    </row>
    <row r="266" spans="1:7" x14ac:dyDescent="0.45">
      <c r="A266">
        <v>265</v>
      </c>
      <c r="B266" s="4">
        <v>45839</v>
      </c>
      <c r="C266" t="s">
        <v>192</v>
      </c>
      <c r="D266" t="s">
        <v>27</v>
      </c>
      <c r="E266">
        <v>150</v>
      </c>
      <c r="G266" s="1"/>
    </row>
    <row r="267" spans="1:7" x14ac:dyDescent="0.45">
      <c r="A267">
        <v>266</v>
      </c>
      <c r="B267" s="4">
        <v>45839</v>
      </c>
      <c r="C267" s="6" t="s">
        <v>136</v>
      </c>
      <c r="D267" s="6" t="s">
        <v>84</v>
      </c>
      <c r="E267" s="6">
        <v>1500</v>
      </c>
    </row>
    <row r="268" spans="1:7" x14ac:dyDescent="0.45">
      <c r="A268">
        <v>267</v>
      </c>
      <c r="B268" s="4">
        <v>45839</v>
      </c>
      <c r="C268" t="s">
        <v>258</v>
      </c>
      <c r="D268" t="s">
        <v>83</v>
      </c>
      <c r="E268">
        <f>1268.1+162</f>
        <v>1430.1</v>
      </c>
      <c r="G268" s="1"/>
    </row>
    <row r="269" spans="1:7" x14ac:dyDescent="0.45">
      <c r="A269">
        <v>268</v>
      </c>
      <c r="B269" s="4">
        <v>45839</v>
      </c>
      <c r="C269" t="s">
        <v>142</v>
      </c>
      <c r="D269" t="s">
        <v>27</v>
      </c>
      <c r="E269">
        <v>60</v>
      </c>
      <c r="G269" s="1"/>
    </row>
    <row r="270" spans="1:7" x14ac:dyDescent="0.45">
      <c r="A270">
        <v>269</v>
      </c>
      <c r="B270" s="4">
        <v>45839</v>
      </c>
      <c r="C270" t="s">
        <v>193</v>
      </c>
      <c r="D270" t="s">
        <v>81</v>
      </c>
      <c r="E270">
        <v>25</v>
      </c>
      <c r="G270" s="1"/>
    </row>
    <row r="271" spans="1:7" x14ac:dyDescent="0.45">
      <c r="A271">
        <v>270</v>
      </c>
      <c r="B271" s="4">
        <v>45845</v>
      </c>
      <c r="C271" t="s">
        <v>194</v>
      </c>
      <c r="D271" t="s">
        <v>85</v>
      </c>
      <c r="E271">
        <v>1400</v>
      </c>
      <c r="G271" s="1"/>
    </row>
    <row r="272" spans="1:7" x14ac:dyDescent="0.45">
      <c r="A272">
        <v>271</v>
      </c>
      <c r="B272" s="4">
        <v>45846</v>
      </c>
      <c r="C272" t="s">
        <v>195</v>
      </c>
      <c r="D272" t="s">
        <v>81</v>
      </c>
      <c r="E272">
        <v>160</v>
      </c>
      <c r="G272" s="1"/>
    </row>
    <row r="273" spans="1:7" x14ac:dyDescent="0.45">
      <c r="A273">
        <v>272</v>
      </c>
      <c r="B273" s="4">
        <v>45846</v>
      </c>
      <c r="C273" t="s">
        <v>184</v>
      </c>
      <c r="D273" t="s">
        <v>82</v>
      </c>
      <c r="E273">
        <v>101.8</v>
      </c>
      <c r="G273" s="1"/>
    </row>
    <row r="274" spans="1:7" x14ac:dyDescent="0.45">
      <c r="A274">
        <v>273</v>
      </c>
      <c r="B274" s="4">
        <v>45847</v>
      </c>
      <c r="C274" t="s">
        <v>198</v>
      </c>
      <c r="D274" t="s">
        <v>26</v>
      </c>
      <c r="E274">
        <v>84.525999999999996</v>
      </c>
      <c r="G274" s="1"/>
    </row>
    <row r="275" spans="1:7" x14ac:dyDescent="0.45">
      <c r="A275">
        <v>274</v>
      </c>
      <c r="B275" s="4">
        <v>45847</v>
      </c>
      <c r="C275" t="s">
        <v>196</v>
      </c>
      <c r="D275" t="s">
        <v>85</v>
      </c>
      <c r="E275">
        <v>17.8</v>
      </c>
      <c r="G275" s="1"/>
    </row>
    <row r="276" spans="1:7" x14ac:dyDescent="0.45">
      <c r="A276">
        <v>275</v>
      </c>
      <c r="B276" s="4">
        <v>45849</v>
      </c>
      <c r="C276" t="s">
        <v>197</v>
      </c>
      <c r="D276" t="s">
        <v>85</v>
      </c>
      <c r="E276">
        <v>2103.5100000000002</v>
      </c>
      <c r="G276" s="1"/>
    </row>
    <row r="277" spans="1:7" x14ac:dyDescent="0.45">
      <c r="A277">
        <v>276</v>
      </c>
      <c r="B277" s="4">
        <v>45851</v>
      </c>
      <c r="C277" t="s">
        <v>199</v>
      </c>
      <c r="D277" t="s">
        <v>80</v>
      </c>
      <c r="E277">
        <v>20</v>
      </c>
      <c r="G277" s="1"/>
    </row>
    <row r="278" spans="1:7" x14ac:dyDescent="0.45">
      <c r="A278">
        <v>277</v>
      </c>
      <c r="B278" s="4">
        <v>45851</v>
      </c>
      <c r="C278" t="s">
        <v>200</v>
      </c>
      <c r="D278" t="s">
        <v>85</v>
      </c>
      <c r="E278">
        <v>95</v>
      </c>
      <c r="G278" s="1"/>
    </row>
    <row r="279" spans="1:7" x14ac:dyDescent="0.45">
      <c r="A279">
        <v>278</v>
      </c>
      <c r="B279" s="4">
        <v>45852</v>
      </c>
      <c r="C279" t="s">
        <v>201</v>
      </c>
      <c r="D279" t="s">
        <v>80</v>
      </c>
      <c r="E279">
        <v>65</v>
      </c>
      <c r="G279" s="1"/>
    </row>
    <row r="280" spans="1:7" x14ac:dyDescent="0.45">
      <c r="A280">
        <v>279</v>
      </c>
      <c r="B280" s="4">
        <v>45858</v>
      </c>
      <c r="C280" t="s">
        <v>202</v>
      </c>
      <c r="D280" t="s">
        <v>81</v>
      </c>
      <c r="E280">
        <v>25</v>
      </c>
      <c r="G280" s="1"/>
    </row>
    <row r="281" spans="1:7" x14ac:dyDescent="0.45">
      <c r="A281">
        <v>280</v>
      </c>
      <c r="B281" s="4">
        <v>45858</v>
      </c>
      <c r="C281" t="s">
        <v>203</v>
      </c>
      <c r="D281" t="s">
        <v>85</v>
      </c>
      <c r="E281">
        <v>80</v>
      </c>
      <c r="G281" s="1"/>
    </row>
    <row r="282" spans="1:7" x14ac:dyDescent="0.45">
      <c r="A282">
        <v>281</v>
      </c>
      <c r="B282" s="4">
        <v>45859</v>
      </c>
      <c r="C282" t="s">
        <v>204</v>
      </c>
      <c r="D282" t="s">
        <v>26</v>
      </c>
      <c r="E282">
        <v>51.805999999999997</v>
      </c>
      <c r="G282" s="1"/>
    </row>
    <row r="283" spans="1:7" x14ac:dyDescent="0.45">
      <c r="A283">
        <v>282</v>
      </c>
      <c r="B283" s="4">
        <v>45860</v>
      </c>
      <c r="C283" t="s">
        <v>202</v>
      </c>
      <c r="D283" t="s">
        <v>81</v>
      </c>
      <c r="E283">
        <v>25</v>
      </c>
      <c r="G283" s="1"/>
    </row>
    <row r="284" spans="1:7" x14ac:dyDescent="0.45">
      <c r="A284">
        <v>283</v>
      </c>
      <c r="B284" s="4">
        <v>45864</v>
      </c>
      <c r="C284" t="s">
        <v>115</v>
      </c>
      <c r="D284" t="s">
        <v>26</v>
      </c>
      <c r="E284">
        <v>20</v>
      </c>
      <c r="G284" s="1"/>
    </row>
    <row r="285" spans="1:7" x14ac:dyDescent="0.45">
      <c r="A285">
        <v>284</v>
      </c>
      <c r="B285" s="4">
        <v>45864</v>
      </c>
      <c r="C285" t="s">
        <v>205</v>
      </c>
      <c r="D285" t="s">
        <v>87</v>
      </c>
      <c r="E285">
        <v>208.19</v>
      </c>
      <c r="G285" s="1"/>
    </row>
    <row r="286" spans="1:7" x14ac:dyDescent="0.45">
      <c r="A286">
        <v>285</v>
      </c>
      <c r="B286" s="4">
        <v>45864</v>
      </c>
      <c r="C286" t="s">
        <v>206</v>
      </c>
      <c r="D286" t="s">
        <v>81</v>
      </c>
      <c r="E286">
        <v>15</v>
      </c>
      <c r="G286" s="1"/>
    </row>
    <row r="287" spans="1:7" x14ac:dyDescent="0.45">
      <c r="A287">
        <v>286</v>
      </c>
      <c r="B287" s="4">
        <v>45864</v>
      </c>
      <c r="C287" t="s">
        <v>207</v>
      </c>
      <c r="D287" t="s">
        <v>26</v>
      </c>
      <c r="E287">
        <v>520.60900000000004</v>
      </c>
      <c r="G287" s="1"/>
    </row>
    <row r="288" spans="1:7" x14ac:dyDescent="0.45">
      <c r="A288">
        <v>287</v>
      </c>
      <c r="B288" s="4">
        <v>45867</v>
      </c>
      <c r="C288" t="s">
        <v>208</v>
      </c>
      <c r="D288" t="s">
        <v>85</v>
      </c>
      <c r="E288">
        <v>350</v>
      </c>
      <c r="G288" s="1"/>
    </row>
    <row r="289" spans="1:10" x14ac:dyDescent="0.45">
      <c r="A289">
        <v>288</v>
      </c>
      <c r="B289" s="4">
        <v>45870</v>
      </c>
      <c r="C289" t="s">
        <v>93</v>
      </c>
      <c r="D289" t="s">
        <v>95</v>
      </c>
      <c r="F289">
        <f>SUM(E289:E321)</f>
        <v>7194.4170000000004</v>
      </c>
      <c r="G289" s="1"/>
    </row>
    <row r="290" spans="1:10" x14ac:dyDescent="0.45">
      <c r="A290">
        <v>289</v>
      </c>
      <c r="B290" s="4">
        <v>45871</v>
      </c>
      <c r="C290" t="s">
        <v>91</v>
      </c>
      <c r="D290" t="s">
        <v>94</v>
      </c>
      <c r="G290" s="1">
        <f>280+290+280+280+260+140+7+280+220+280+270+300+450+280+270+280+230+280+280+230+250+280+300</f>
        <v>6017</v>
      </c>
    </row>
    <row r="291" spans="1:10" x14ac:dyDescent="0.45">
      <c r="A291">
        <v>290</v>
      </c>
      <c r="B291" s="4">
        <v>45870</v>
      </c>
      <c r="C291" t="s">
        <v>191</v>
      </c>
      <c r="D291" t="s">
        <v>27</v>
      </c>
      <c r="E291">
        <v>670</v>
      </c>
      <c r="G291" s="1"/>
    </row>
    <row r="292" spans="1:10" x14ac:dyDescent="0.45">
      <c r="A292">
        <v>291</v>
      </c>
      <c r="B292" s="4">
        <v>45870</v>
      </c>
      <c r="C292" s="6" t="s">
        <v>136</v>
      </c>
      <c r="D292" s="6" t="s">
        <v>84</v>
      </c>
      <c r="E292" s="6">
        <v>1500</v>
      </c>
    </row>
    <row r="293" spans="1:10" x14ac:dyDescent="0.45">
      <c r="A293">
        <v>292</v>
      </c>
      <c r="B293" s="4">
        <v>45870</v>
      </c>
      <c r="C293" t="s">
        <v>257</v>
      </c>
      <c r="D293" t="s">
        <v>83</v>
      </c>
      <c r="E293">
        <f>1268.1+162</f>
        <v>1430.1</v>
      </c>
      <c r="G293" s="1"/>
    </row>
    <row r="294" spans="1:10" x14ac:dyDescent="0.45">
      <c r="A294">
        <v>293</v>
      </c>
      <c r="B294" s="4">
        <v>45870</v>
      </c>
      <c r="C294" t="s">
        <v>142</v>
      </c>
      <c r="D294" t="s">
        <v>27</v>
      </c>
      <c r="E294">
        <v>70</v>
      </c>
      <c r="G294" s="1"/>
    </row>
    <row r="295" spans="1:10" x14ac:dyDescent="0.45">
      <c r="A295">
        <v>294</v>
      </c>
      <c r="B295" s="4">
        <v>45870</v>
      </c>
      <c r="C295" t="s">
        <v>5</v>
      </c>
      <c r="D295" t="s">
        <v>27</v>
      </c>
      <c r="E295">
        <v>150</v>
      </c>
      <c r="G295" s="1"/>
      <c r="J295">
        <f>280+290+280+280+260+140+280+220+280+270+300+280+270+280+230+280+280+230+250+280+300</f>
        <v>5560</v>
      </c>
    </row>
    <row r="296" spans="1:10" x14ac:dyDescent="0.45">
      <c r="A296">
        <v>295</v>
      </c>
      <c r="B296" s="4">
        <v>45875</v>
      </c>
      <c r="C296" t="s">
        <v>209</v>
      </c>
      <c r="D296" t="s">
        <v>85</v>
      </c>
      <c r="E296">
        <v>350</v>
      </c>
      <c r="G296" s="1"/>
    </row>
    <row r="297" spans="1:10" x14ac:dyDescent="0.45">
      <c r="A297">
        <v>296</v>
      </c>
      <c r="B297" s="4">
        <v>45875</v>
      </c>
      <c r="C297" t="s">
        <v>210</v>
      </c>
      <c r="D297" t="s">
        <v>81</v>
      </c>
      <c r="E297">
        <v>25</v>
      </c>
      <c r="G297" s="1"/>
    </row>
    <row r="298" spans="1:10" x14ac:dyDescent="0.45">
      <c r="A298">
        <v>297</v>
      </c>
      <c r="B298" s="4">
        <v>45876</v>
      </c>
      <c r="C298" t="s">
        <v>211</v>
      </c>
      <c r="D298" t="s">
        <v>81</v>
      </c>
      <c r="E298">
        <v>15</v>
      </c>
      <c r="G298" s="1"/>
    </row>
    <row r="299" spans="1:10" x14ac:dyDescent="0.45">
      <c r="A299">
        <v>298</v>
      </c>
      <c r="B299" s="4">
        <v>45876</v>
      </c>
      <c r="C299" t="s">
        <v>212</v>
      </c>
      <c r="D299" t="s">
        <v>85</v>
      </c>
      <c r="E299">
        <v>169</v>
      </c>
      <c r="G299" s="1"/>
    </row>
    <row r="300" spans="1:10" x14ac:dyDescent="0.45">
      <c r="A300">
        <v>299</v>
      </c>
      <c r="B300" s="4">
        <v>45878</v>
      </c>
      <c r="C300" t="s">
        <v>213</v>
      </c>
      <c r="D300" t="s">
        <v>85</v>
      </c>
      <c r="E300">
        <v>9</v>
      </c>
      <c r="G300" s="1"/>
    </row>
    <row r="301" spans="1:10" x14ac:dyDescent="0.45">
      <c r="A301">
        <v>300</v>
      </c>
      <c r="B301" s="4">
        <v>45878</v>
      </c>
      <c r="C301" t="s">
        <v>214</v>
      </c>
      <c r="D301" t="s">
        <v>85</v>
      </c>
      <c r="E301">
        <v>40</v>
      </c>
      <c r="G301" s="1"/>
    </row>
    <row r="302" spans="1:10" x14ac:dyDescent="0.45">
      <c r="A302">
        <v>301</v>
      </c>
      <c r="B302" s="4">
        <v>45878</v>
      </c>
      <c r="C302" t="s">
        <v>158</v>
      </c>
      <c r="D302" t="s">
        <v>85</v>
      </c>
      <c r="E302">
        <v>164</v>
      </c>
      <c r="G302" s="1"/>
    </row>
    <row r="303" spans="1:10" x14ac:dyDescent="0.45">
      <c r="A303">
        <v>302</v>
      </c>
      <c r="B303" s="4">
        <v>45879</v>
      </c>
      <c r="C303" t="s">
        <v>215</v>
      </c>
      <c r="D303" t="s">
        <v>85</v>
      </c>
      <c r="E303">
        <v>100</v>
      </c>
      <c r="G303" s="1"/>
    </row>
    <row r="304" spans="1:10" x14ac:dyDescent="0.45">
      <c r="A304">
        <v>303</v>
      </c>
      <c r="B304" s="4">
        <v>45880</v>
      </c>
      <c r="C304" t="s">
        <v>216</v>
      </c>
      <c r="D304" t="s">
        <v>80</v>
      </c>
      <c r="E304">
        <v>90</v>
      </c>
      <c r="G304" s="1"/>
    </row>
    <row r="305" spans="1:7" x14ac:dyDescent="0.45">
      <c r="A305">
        <v>304</v>
      </c>
      <c r="B305" s="4">
        <v>45881</v>
      </c>
      <c r="C305" t="s">
        <v>217</v>
      </c>
      <c r="D305" t="s">
        <v>85</v>
      </c>
      <c r="E305">
        <v>120</v>
      </c>
      <c r="G305" s="1"/>
    </row>
    <row r="306" spans="1:7" x14ac:dyDescent="0.45">
      <c r="A306">
        <v>305</v>
      </c>
      <c r="B306" s="4">
        <v>45881</v>
      </c>
      <c r="C306" t="s">
        <v>218</v>
      </c>
      <c r="D306" t="s">
        <v>81</v>
      </c>
      <c r="E306">
        <v>25</v>
      </c>
      <c r="G306" s="1"/>
    </row>
    <row r="307" spans="1:7" x14ac:dyDescent="0.45">
      <c r="A307">
        <v>306</v>
      </c>
      <c r="B307" s="4">
        <v>45886</v>
      </c>
      <c r="C307" t="s">
        <v>219</v>
      </c>
      <c r="D307" t="s">
        <v>85</v>
      </c>
      <c r="E307">
        <v>16.5</v>
      </c>
      <c r="G307" s="1"/>
    </row>
    <row r="308" spans="1:7" x14ac:dyDescent="0.45">
      <c r="A308">
        <v>307</v>
      </c>
      <c r="B308" s="4">
        <v>45886</v>
      </c>
      <c r="C308" t="s">
        <v>220</v>
      </c>
      <c r="D308" t="s">
        <v>81</v>
      </c>
      <c r="E308">
        <v>440</v>
      </c>
      <c r="G308" s="1"/>
    </row>
    <row r="309" spans="1:7" x14ac:dyDescent="0.45">
      <c r="A309">
        <v>308</v>
      </c>
      <c r="B309" s="4">
        <v>45888</v>
      </c>
      <c r="C309" t="s">
        <v>221</v>
      </c>
      <c r="D309" t="s">
        <v>85</v>
      </c>
      <c r="E309">
        <v>50</v>
      </c>
      <c r="G309" s="1"/>
    </row>
    <row r="310" spans="1:7" x14ac:dyDescent="0.45">
      <c r="A310">
        <v>309</v>
      </c>
      <c r="B310" s="4">
        <v>45890</v>
      </c>
      <c r="C310" t="s">
        <v>222</v>
      </c>
      <c r="D310" t="s">
        <v>85</v>
      </c>
      <c r="E310">
        <v>35</v>
      </c>
      <c r="G310" s="1"/>
    </row>
    <row r="311" spans="1:7" x14ac:dyDescent="0.45">
      <c r="A311">
        <v>310</v>
      </c>
      <c r="B311" s="4">
        <v>45890</v>
      </c>
      <c r="C311" t="s">
        <v>223</v>
      </c>
      <c r="D311" t="s">
        <v>85</v>
      </c>
      <c r="E311">
        <v>21</v>
      </c>
      <c r="G311" s="1"/>
    </row>
    <row r="312" spans="1:7" x14ac:dyDescent="0.45">
      <c r="A312">
        <v>311</v>
      </c>
      <c r="B312" s="4">
        <v>45893</v>
      </c>
      <c r="C312" t="s">
        <v>61</v>
      </c>
      <c r="D312" t="s">
        <v>81</v>
      </c>
      <c r="E312">
        <v>15</v>
      </c>
      <c r="G312" s="1"/>
    </row>
    <row r="313" spans="1:7" x14ac:dyDescent="0.45">
      <c r="A313">
        <v>312</v>
      </c>
      <c r="B313" s="4">
        <v>45894</v>
      </c>
      <c r="C313" t="s">
        <v>224</v>
      </c>
      <c r="D313" t="s">
        <v>26</v>
      </c>
      <c r="E313">
        <v>717.81700000000001</v>
      </c>
      <c r="G313" s="1"/>
    </row>
    <row r="314" spans="1:7" x14ac:dyDescent="0.45">
      <c r="A314">
        <v>313</v>
      </c>
      <c r="B314" s="4">
        <v>45894</v>
      </c>
      <c r="C314" t="s">
        <v>225</v>
      </c>
      <c r="D314" t="s">
        <v>85</v>
      </c>
      <c r="E314">
        <v>25</v>
      </c>
      <c r="G314" s="1"/>
    </row>
    <row r="315" spans="1:7" x14ac:dyDescent="0.45">
      <c r="A315">
        <v>314</v>
      </c>
      <c r="B315" s="4">
        <v>45897</v>
      </c>
      <c r="C315" t="s">
        <v>226</v>
      </c>
      <c r="D315" t="s">
        <v>85</v>
      </c>
      <c r="E315">
        <v>45</v>
      </c>
      <c r="G315" s="1"/>
    </row>
    <row r="316" spans="1:7" x14ac:dyDescent="0.45">
      <c r="A316">
        <v>315</v>
      </c>
      <c r="B316" s="4">
        <v>45900</v>
      </c>
      <c r="C316" t="s">
        <v>227</v>
      </c>
      <c r="D316" t="s">
        <v>82</v>
      </c>
      <c r="E316">
        <v>163</v>
      </c>
      <c r="G316" s="1"/>
    </row>
    <row r="317" spans="1:7" x14ac:dyDescent="0.45">
      <c r="A317">
        <v>316</v>
      </c>
      <c r="B317" s="4">
        <v>45900</v>
      </c>
      <c r="C317" t="s">
        <v>228</v>
      </c>
      <c r="D317" t="s">
        <v>85</v>
      </c>
      <c r="E317">
        <v>150</v>
      </c>
      <c r="G317" s="1"/>
    </row>
    <row r="318" spans="1:7" x14ac:dyDescent="0.45">
      <c r="A318">
        <v>317</v>
      </c>
      <c r="B318" s="4">
        <v>45900</v>
      </c>
      <c r="C318" t="s">
        <v>189</v>
      </c>
      <c r="D318" t="s">
        <v>85</v>
      </c>
      <c r="E318">
        <v>40</v>
      </c>
      <c r="G318" s="1"/>
    </row>
    <row r="319" spans="1:7" x14ac:dyDescent="0.45">
      <c r="A319">
        <v>318</v>
      </c>
      <c r="B319" s="4">
        <v>45900</v>
      </c>
      <c r="C319" t="s">
        <v>229</v>
      </c>
      <c r="D319" t="s">
        <v>85</v>
      </c>
      <c r="E319">
        <v>23</v>
      </c>
      <c r="G319" s="1"/>
    </row>
    <row r="320" spans="1:7" x14ac:dyDescent="0.45">
      <c r="A320">
        <v>319</v>
      </c>
      <c r="B320" s="4">
        <v>45900</v>
      </c>
      <c r="C320" t="s">
        <v>158</v>
      </c>
      <c r="D320" t="s">
        <v>85</v>
      </c>
      <c r="E320">
        <v>480</v>
      </c>
      <c r="G320" s="1"/>
    </row>
    <row r="321" spans="1:7" x14ac:dyDescent="0.45">
      <c r="A321">
        <v>320</v>
      </c>
      <c r="B321" s="4">
        <v>45900</v>
      </c>
      <c r="C321" t="s">
        <v>230</v>
      </c>
      <c r="D321" t="s">
        <v>85</v>
      </c>
      <c r="E321">
        <v>46</v>
      </c>
      <c r="G321" s="1"/>
    </row>
    <row r="322" spans="1:7" x14ac:dyDescent="0.45">
      <c r="A322">
        <v>321</v>
      </c>
      <c r="B322" s="4">
        <v>45901</v>
      </c>
      <c r="C322" t="s">
        <v>93</v>
      </c>
      <c r="D322" t="s">
        <v>95</v>
      </c>
      <c r="F322">
        <f>SUM(E322:E352)</f>
        <v>5684.9170000000004</v>
      </c>
      <c r="G322" s="1"/>
    </row>
    <row r="323" spans="1:7" x14ac:dyDescent="0.45">
      <c r="A323">
        <v>322</v>
      </c>
      <c r="B323" s="4">
        <v>45901</v>
      </c>
      <c r="C323" t="s">
        <v>91</v>
      </c>
      <c r="D323" t="s">
        <v>94</v>
      </c>
      <c r="G323" s="1">
        <f>250+280+280+250+290+280+230+280+1560+280+220+280+260+220+280+280+280+280+270+270+280+40+280+220+230+280+280+250+280+280+280+250+230+280+280</f>
        <v>10360</v>
      </c>
    </row>
    <row r="324" spans="1:7" x14ac:dyDescent="0.45">
      <c r="A324">
        <v>323</v>
      </c>
      <c r="B324" s="4">
        <v>45901</v>
      </c>
      <c r="C324" t="s">
        <v>191</v>
      </c>
      <c r="D324" t="s">
        <v>27</v>
      </c>
      <c r="E324">
        <v>430</v>
      </c>
      <c r="G324" s="1"/>
    </row>
    <row r="325" spans="1:7" x14ac:dyDescent="0.45">
      <c r="A325">
        <v>324</v>
      </c>
      <c r="B325" s="4">
        <v>45901</v>
      </c>
      <c r="C325" s="6" t="s">
        <v>136</v>
      </c>
      <c r="D325" s="6" t="s">
        <v>84</v>
      </c>
      <c r="E325" s="6">
        <v>1500</v>
      </c>
    </row>
    <row r="326" spans="1:7" x14ac:dyDescent="0.45">
      <c r="A326">
        <v>325</v>
      </c>
      <c r="B326" s="4">
        <v>45901</v>
      </c>
      <c r="C326" t="s">
        <v>256</v>
      </c>
      <c r="D326" t="s">
        <v>83</v>
      </c>
      <c r="E326">
        <f>1268.1+40.5+162</f>
        <v>1470.6</v>
      </c>
      <c r="G326" s="1"/>
    </row>
    <row r="327" spans="1:7" x14ac:dyDescent="0.45">
      <c r="A327">
        <v>326</v>
      </c>
      <c r="B327" s="4">
        <v>45901</v>
      </c>
      <c r="C327" t="s">
        <v>142</v>
      </c>
      <c r="D327" t="s">
        <v>27</v>
      </c>
      <c r="E327">
        <v>70</v>
      </c>
      <c r="G327" s="1"/>
    </row>
    <row r="328" spans="1:7" x14ac:dyDescent="0.45">
      <c r="A328">
        <v>327</v>
      </c>
      <c r="B328" s="4">
        <v>45901</v>
      </c>
      <c r="C328" t="s">
        <v>5</v>
      </c>
      <c r="D328" t="s">
        <v>27</v>
      </c>
      <c r="E328">
        <v>150</v>
      </c>
      <c r="G328" s="1"/>
    </row>
    <row r="329" spans="1:7" x14ac:dyDescent="0.45">
      <c r="A329">
        <v>328</v>
      </c>
      <c r="B329" s="4">
        <v>45901</v>
      </c>
      <c r="C329" t="s">
        <v>232</v>
      </c>
      <c r="D329" t="s">
        <v>81</v>
      </c>
      <c r="E329">
        <v>55</v>
      </c>
      <c r="G329" s="1"/>
    </row>
    <row r="330" spans="1:7" x14ac:dyDescent="0.45">
      <c r="A330">
        <v>329</v>
      </c>
      <c r="B330" s="4">
        <v>45904</v>
      </c>
      <c r="C330" t="s">
        <v>242</v>
      </c>
      <c r="D330" t="s">
        <v>26</v>
      </c>
      <c r="E330">
        <v>465.84899999999999</v>
      </c>
      <c r="G330" s="1"/>
    </row>
    <row r="331" spans="1:7" x14ac:dyDescent="0.45">
      <c r="A331">
        <v>330</v>
      </c>
      <c r="B331" s="4">
        <v>45904</v>
      </c>
      <c r="C331" t="s">
        <v>233</v>
      </c>
      <c r="D331" t="s">
        <v>26</v>
      </c>
      <c r="E331">
        <v>5</v>
      </c>
      <c r="G331" s="1"/>
    </row>
    <row r="332" spans="1:7" x14ac:dyDescent="0.45">
      <c r="A332">
        <v>331</v>
      </c>
      <c r="B332" s="4">
        <v>45904</v>
      </c>
      <c r="C332" t="s">
        <v>234</v>
      </c>
      <c r="D332" t="s">
        <v>26</v>
      </c>
      <c r="E332">
        <v>42.262999999999998</v>
      </c>
      <c r="G332" s="1"/>
    </row>
    <row r="333" spans="1:7" x14ac:dyDescent="0.45">
      <c r="A333">
        <v>332</v>
      </c>
      <c r="B333" s="4">
        <v>45904</v>
      </c>
      <c r="C333" t="s">
        <v>235</v>
      </c>
      <c r="D333" t="s">
        <v>26</v>
      </c>
      <c r="E333">
        <v>5.27</v>
      </c>
      <c r="G333" s="1"/>
    </row>
    <row r="334" spans="1:7" x14ac:dyDescent="0.45">
      <c r="A334">
        <v>333</v>
      </c>
      <c r="B334" s="4">
        <v>45904</v>
      </c>
      <c r="C334" t="s">
        <v>236</v>
      </c>
      <c r="D334" t="s">
        <v>87</v>
      </c>
      <c r="E334">
        <v>105.803</v>
      </c>
      <c r="G334" s="1"/>
    </row>
    <row r="335" spans="1:7" x14ac:dyDescent="0.45">
      <c r="A335">
        <v>334</v>
      </c>
      <c r="B335" s="4">
        <v>45906</v>
      </c>
      <c r="C335" t="s">
        <v>237</v>
      </c>
      <c r="D335" t="s">
        <v>85</v>
      </c>
      <c r="E335">
        <v>6.1</v>
      </c>
      <c r="G335" s="1"/>
    </row>
    <row r="336" spans="1:7" x14ac:dyDescent="0.45">
      <c r="A336">
        <v>335</v>
      </c>
      <c r="B336" s="4">
        <v>45906</v>
      </c>
      <c r="C336" t="s">
        <v>238</v>
      </c>
      <c r="D336" t="s">
        <v>85</v>
      </c>
      <c r="E336">
        <v>75</v>
      </c>
      <c r="G336" s="1"/>
    </row>
    <row r="337" spans="1:7" x14ac:dyDescent="0.45">
      <c r="A337">
        <v>336</v>
      </c>
      <c r="B337" s="4">
        <v>45911</v>
      </c>
      <c r="C337" t="s">
        <v>239</v>
      </c>
      <c r="D337" t="s">
        <v>81</v>
      </c>
      <c r="E337">
        <v>25</v>
      </c>
      <c r="G337" s="1"/>
    </row>
    <row r="338" spans="1:7" x14ac:dyDescent="0.45">
      <c r="A338">
        <v>337</v>
      </c>
      <c r="B338" s="4">
        <v>45911</v>
      </c>
      <c r="C338" t="s">
        <v>240</v>
      </c>
      <c r="D338" t="s">
        <v>87</v>
      </c>
      <c r="E338">
        <v>106.803</v>
      </c>
      <c r="G338" s="1"/>
    </row>
    <row r="339" spans="1:7" x14ac:dyDescent="0.45">
      <c r="A339">
        <v>338</v>
      </c>
      <c r="B339" s="4">
        <v>45911</v>
      </c>
      <c r="C339" t="s">
        <v>241</v>
      </c>
      <c r="D339" t="s">
        <v>26</v>
      </c>
      <c r="E339">
        <v>536.73199999999997</v>
      </c>
      <c r="G339" s="1"/>
    </row>
    <row r="340" spans="1:7" x14ac:dyDescent="0.45">
      <c r="A340">
        <v>339</v>
      </c>
      <c r="B340" s="4">
        <v>45911</v>
      </c>
      <c r="C340" t="s">
        <v>243</v>
      </c>
      <c r="D340" t="s">
        <v>85</v>
      </c>
      <c r="E340">
        <v>12.696999999999999</v>
      </c>
      <c r="G340" s="1"/>
    </row>
    <row r="341" spans="1:7" x14ac:dyDescent="0.45">
      <c r="A341">
        <v>340</v>
      </c>
      <c r="B341" s="4">
        <v>45913</v>
      </c>
      <c r="C341" t="s">
        <v>193</v>
      </c>
      <c r="D341" t="s">
        <v>81</v>
      </c>
      <c r="E341">
        <v>25</v>
      </c>
      <c r="G341" s="1"/>
    </row>
    <row r="342" spans="1:7" x14ac:dyDescent="0.45">
      <c r="A342">
        <v>341</v>
      </c>
      <c r="B342" s="4">
        <v>45913</v>
      </c>
      <c r="C342" t="s">
        <v>244</v>
      </c>
      <c r="D342" t="s">
        <v>81</v>
      </c>
      <c r="E342">
        <v>32</v>
      </c>
      <c r="G342" s="1"/>
    </row>
    <row r="343" spans="1:7" x14ac:dyDescent="0.45">
      <c r="A343">
        <v>342</v>
      </c>
      <c r="B343" s="4">
        <v>45914</v>
      </c>
      <c r="C343" t="s">
        <v>245</v>
      </c>
      <c r="D343" t="s">
        <v>85</v>
      </c>
      <c r="E343">
        <v>120</v>
      </c>
      <c r="G343" s="1"/>
    </row>
    <row r="344" spans="1:7" x14ac:dyDescent="0.45">
      <c r="A344">
        <v>342</v>
      </c>
      <c r="B344" s="4">
        <v>45914</v>
      </c>
      <c r="C344" t="s">
        <v>246</v>
      </c>
      <c r="D344" t="s">
        <v>85</v>
      </c>
      <c r="E344">
        <v>25</v>
      </c>
      <c r="G344" s="1"/>
    </row>
    <row r="345" spans="1:7" x14ac:dyDescent="0.45">
      <c r="A345">
        <v>343</v>
      </c>
      <c r="B345" s="4">
        <v>45915</v>
      </c>
      <c r="C345" t="s">
        <v>247</v>
      </c>
      <c r="D345" t="s">
        <v>85</v>
      </c>
      <c r="E345">
        <v>30</v>
      </c>
      <c r="G345" s="1"/>
    </row>
    <row r="346" spans="1:7" x14ac:dyDescent="0.45">
      <c r="A346">
        <v>344</v>
      </c>
      <c r="B346" s="4">
        <v>45915</v>
      </c>
      <c r="C346" t="s">
        <v>248</v>
      </c>
      <c r="D346" t="s">
        <v>85</v>
      </c>
      <c r="E346">
        <v>13</v>
      </c>
      <c r="G346" s="1"/>
    </row>
    <row r="347" spans="1:7" x14ac:dyDescent="0.45">
      <c r="A347">
        <v>345</v>
      </c>
      <c r="B347" s="4">
        <v>45915</v>
      </c>
      <c r="C347" t="s">
        <v>249</v>
      </c>
      <c r="D347" t="s">
        <v>81</v>
      </c>
      <c r="E347">
        <v>125</v>
      </c>
      <c r="G347" s="1"/>
    </row>
    <row r="348" spans="1:7" x14ac:dyDescent="0.45">
      <c r="A348">
        <v>346</v>
      </c>
      <c r="B348" s="4">
        <v>45915</v>
      </c>
      <c r="C348" t="s">
        <v>250</v>
      </c>
      <c r="D348" t="s">
        <v>85</v>
      </c>
      <c r="E348">
        <v>26</v>
      </c>
      <c r="G348" s="1"/>
    </row>
    <row r="349" spans="1:7" x14ac:dyDescent="0.45">
      <c r="A349">
        <v>347</v>
      </c>
      <c r="B349" s="4">
        <v>45915</v>
      </c>
      <c r="C349" t="s">
        <v>251</v>
      </c>
      <c r="D349" t="s">
        <v>85</v>
      </c>
      <c r="E349">
        <v>30</v>
      </c>
      <c r="G349" s="1"/>
    </row>
    <row r="350" spans="1:7" x14ac:dyDescent="0.45">
      <c r="A350">
        <v>348</v>
      </c>
      <c r="B350" s="4">
        <v>45915</v>
      </c>
      <c r="C350" t="s">
        <v>252</v>
      </c>
      <c r="D350" t="s">
        <v>82</v>
      </c>
      <c r="E350">
        <v>101.8</v>
      </c>
      <c r="G350" s="1"/>
    </row>
    <row r="351" spans="1:7" x14ac:dyDescent="0.45">
      <c r="A351">
        <v>349</v>
      </c>
      <c r="B351" s="4">
        <v>45917</v>
      </c>
      <c r="C351" t="s">
        <v>253</v>
      </c>
      <c r="D351" t="s">
        <v>85</v>
      </c>
      <c r="E351">
        <v>70</v>
      </c>
      <c r="G351" s="1"/>
    </row>
    <row r="352" spans="1:7" x14ac:dyDescent="0.45">
      <c r="A352">
        <v>350</v>
      </c>
      <c r="B352" s="4">
        <v>45920</v>
      </c>
      <c r="C352" t="s">
        <v>254</v>
      </c>
      <c r="D352" t="s">
        <v>81</v>
      </c>
      <c r="E352">
        <v>25</v>
      </c>
      <c r="G352" s="1"/>
    </row>
    <row r="353" spans="1:7" x14ac:dyDescent="0.45">
      <c r="A353">
        <v>321</v>
      </c>
      <c r="B353" s="4">
        <v>45931</v>
      </c>
      <c r="C353" t="s">
        <v>93</v>
      </c>
      <c r="D353" t="s">
        <v>95</v>
      </c>
      <c r="F353">
        <f>SUM(E353:E382)</f>
        <v>9764.0220000000008</v>
      </c>
      <c r="G353" s="1"/>
    </row>
    <row r="354" spans="1:7" x14ac:dyDescent="0.45">
      <c r="A354">
        <v>322</v>
      </c>
      <c r="B354" s="4">
        <v>45931</v>
      </c>
      <c r="C354" t="s">
        <v>91</v>
      </c>
      <c r="D354" t="s">
        <v>94</v>
      </c>
      <c r="G354" s="1">
        <f>300+140+280+280+250+280+140+290+280+220+250+240+300+280+150+260+280+280+270+260+280+280+250+70+230+280+280+250+600+280+230+300</f>
        <v>8360</v>
      </c>
    </row>
    <row r="355" spans="1:7" x14ac:dyDescent="0.45">
      <c r="A355">
        <v>324</v>
      </c>
      <c r="B355" s="4">
        <v>45931</v>
      </c>
      <c r="C355" s="6" t="s">
        <v>136</v>
      </c>
      <c r="D355" s="6" t="s">
        <v>84</v>
      </c>
      <c r="E355" s="6">
        <v>1500</v>
      </c>
      <c r="G355" s="1"/>
    </row>
    <row r="356" spans="1:7" x14ac:dyDescent="0.45">
      <c r="A356">
        <v>325</v>
      </c>
      <c r="B356" s="4">
        <v>45931</v>
      </c>
      <c r="C356" t="s">
        <v>280</v>
      </c>
      <c r="D356" t="s">
        <v>83</v>
      </c>
      <c r="E356">
        <f>1268.1+40.5+162</f>
        <v>1470.6</v>
      </c>
      <c r="G356" s="1"/>
    </row>
    <row r="357" spans="1:7" x14ac:dyDescent="0.45">
      <c r="A357">
        <v>326</v>
      </c>
      <c r="B357" s="4">
        <v>45931</v>
      </c>
      <c r="C357" t="s">
        <v>142</v>
      </c>
      <c r="D357" t="s">
        <v>27</v>
      </c>
      <c r="E357">
        <v>70</v>
      </c>
      <c r="G357" s="1"/>
    </row>
    <row r="358" spans="1:7" x14ac:dyDescent="0.45">
      <c r="A358">
        <v>327</v>
      </c>
      <c r="B358" s="4">
        <v>45931</v>
      </c>
      <c r="C358" t="s">
        <v>255</v>
      </c>
      <c r="D358" t="s">
        <v>27</v>
      </c>
      <c r="E358">
        <v>680</v>
      </c>
      <c r="G358" s="1"/>
    </row>
    <row r="359" spans="1:7" x14ac:dyDescent="0.45">
      <c r="A359">
        <v>328</v>
      </c>
      <c r="B359" s="4">
        <v>45931</v>
      </c>
      <c r="C359" t="s">
        <v>5</v>
      </c>
      <c r="D359" t="s">
        <v>27</v>
      </c>
      <c r="E359">
        <v>150</v>
      </c>
      <c r="G359" s="1"/>
    </row>
    <row r="360" spans="1:7" x14ac:dyDescent="0.45">
      <c r="A360">
        <v>329</v>
      </c>
      <c r="B360" s="4">
        <v>45934</v>
      </c>
      <c r="C360" t="s">
        <v>259</v>
      </c>
      <c r="D360" t="s">
        <v>85</v>
      </c>
      <c r="E360">
        <v>150</v>
      </c>
      <c r="G360" s="1"/>
    </row>
    <row r="361" spans="1:7" x14ac:dyDescent="0.45">
      <c r="A361">
        <v>330</v>
      </c>
      <c r="B361" s="4">
        <v>45934</v>
      </c>
      <c r="C361" t="s">
        <v>260</v>
      </c>
      <c r="D361" t="s">
        <v>85</v>
      </c>
      <c r="E361">
        <v>920</v>
      </c>
      <c r="G361" s="1"/>
    </row>
    <row r="362" spans="1:7" x14ac:dyDescent="0.45">
      <c r="A362">
        <v>332</v>
      </c>
      <c r="B362" s="4">
        <v>45938</v>
      </c>
      <c r="C362" t="s">
        <v>261</v>
      </c>
      <c r="D362" t="s">
        <v>81</v>
      </c>
      <c r="E362">
        <v>100</v>
      </c>
      <c r="G362" s="1"/>
    </row>
    <row r="363" spans="1:7" x14ac:dyDescent="0.45">
      <c r="A363">
        <v>333</v>
      </c>
      <c r="B363" s="4">
        <v>45938</v>
      </c>
      <c r="C363" t="s">
        <v>262</v>
      </c>
      <c r="D363" t="s">
        <v>80</v>
      </c>
      <c r="E363">
        <v>45</v>
      </c>
      <c r="G363" s="1"/>
    </row>
    <row r="364" spans="1:7" x14ac:dyDescent="0.45">
      <c r="A364">
        <v>334</v>
      </c>
      <c r="B364" s="4">
        <v>45938</v>
      </c>
      <c r="C364" t="s">
        <v>263</v>
      </c>
      <c r="D364" t="s">
        <v>26</v>
      </c>
      <c r="E364">
        <v>798.71500000000003</v>
      </c>
      <c r="G364" s="1"/>
    </row>
    <row r="365" spans="1:7" x14ac:dyDescent="0.45">
      <c r="A365">
        <v>335</v>
      </c>
      <c r="B365" s="4">
        <v>45942</v>
      </c>
      <c r="C365" t="s">
        <v>264</v>
      </c>
      <c r="D365" t="s">
        <v>81</v>
      </c>
      <c r="E365">
        <v>75</v>
      </c>
      <c r="G365" s="1"/>
    </row>
    <row r="366" spans="1:7" x14ac:dyDescent="0.45">
      <c r="A366">
        <v>336</v>
      </c>
      <c r="B366" s="4">
        <v>45942</v>
      </c>
      <c r="C366" t="s">
        <v>244</v>
      </c>
      <c r="D366" t="s">
        <v>81</v>
      </c>
      <c r="E366">
        <v>95</v>
      </c>
      <c r="G366" s="1"/>
    </row>
    <row r="367" spans="1:7" x14ac:dyDescent="0.45">
      <c r="A367">
        <v>337</v>
      </c>
      <c r="B367" s="4">
        <v>45943</v>
      </c>
      <c r="C367" t="s">
        <v>265</v>
      </c>
      <c r="D367" t="s">
        <v>85</v>
      </c>
      <c r="E367">
        <v>137.96</v>
      </c>
      <c r="G367" s="1"/>
    </row>
    <row r="368" spans="1:7" x14ac:dyDescent="0.45">
      <c r="A368">
        <v>338</v>
      </c>
      <c r="B368" s="4">
        <v>45943</v>
      </c>
      <c r="C368" t="s">
        <v>266</v>
      </c>
      <c r="D368" t="s">
        <v>85</v>
      </c>
      <c r="E368">
        <v>60.247</v>
      </c>
      <c r="G368" s="1"/>
    </row>
    <row r="369" spans="1:7" x14ac:dyDescent="0.45">
      <c r="A369">
        <v>339</v>
      </c>
      <c r="B369" s="4">
        <v>45943</v>
      </c>
      <c r="C369" t="s">
        <v>267</v>
      </c>
      <c r="D369" t="s">
        <v>85</v>
      </c>
      <c r="E369">
        <v>42</v>
      </c>
      <c r="G369" s="1"/>
    </row>
    <row r="370" spans="1:7" x14ac:dyDescent="0.45">
      <c r="A370">
        <v>340</v>
      </c>
      <c r="B370" s="4">
        <v>45945</v>
      </c>
      <c r="C370" t="s">
        <v>268</v>
      </c>
      <c r="D370" t="s">
        <v>85</v>
      </c>
      <c r="E370">
        <v>260</v>
      </c>
      <c r="G370" s="1"/>
    </row>
    <row r="371" spans="1:7" x14ac:dyDescent="0.45">
      <c r="A371">
        <v>341</v>
      </c>
      <c r="B371" s="4">
        <v>45946</v>
      </c>
      <c r="C371" t="s">
        <v>269</v>
      </c>
      <c r="D371" t="s">
        <v>27</v>
      </c>
      <c r="E371">
        <v>75</v>
      </c>
      <c r="G371" s="1"/>
    </row>
    <row r="372" spans="1:7" x14ac:dyDescent="0.45">
      <c r="A372">
        <v>342</v>
      </c>
      <c r="B372" s="4">
        <v>45948</v>
      </c>
      <c r="C372" t="s">
        <v>270</v>
      </c>
      <c r="D372" t="s">
        <v>85</v>
      </c>
      <c r="E372">
        <v>805</v>
      </c>
      <c r="G372" s="1"/>
    </row>
    <row r="373" spans="1:7" x14ac:dyDescent="0.45">
      <c r="A373">
        <v>343</v>
      </c>
      <c r="B373" s="4">
        <v>45950</v>
      </c>
      <c r="C373" t="s">
        <v>271</v>
      </c>
      <c r="D373" t="s">
        <v>85</v>
      </c>
      <c r="E373">
        <v>20</v>
      </c>
      <c r="G373" s="1"/>
    </row>
    <row r="374" spans="1:7" x14ac:dyDescent="0.45">
      <c r="A374">
        <v>344</v>
      </c>
      <c r="B374" s="4">
        <v>45950</v>
      </c>
      <c r="C374" t="s">
        <v>272</v>
      </c>
      <c r="D374" t="s">
        <v>85</v>
      </c>
      <c r="E374">
        <v>27.5</v>
      </c>
      <c r="G374" s="1"/>
    </row>
    <row r="375" spans="1:7" x14ac:dyDescent="0.45">
      <c r="A375">
        <v>345</v>
      </c>
      <c r="B375" s="4">
        <v>45951</v>
      </c>
      <c r="C375" t="s">
        <v>41</v>
      </c>
      <c r="D375" t="s">
        <v>81</v>
      </c>
      <c r="E375">
        <v>32</v>
      </c>
      <c r="G375" s="1"/>
    </row>
    <row r="376" spans="1:7" x14ac:dyDescent="0.45">
      <c r="A376">
        <v>346</v>
      </c>
      <c r="B376" s="4">
        <v>45951</v>
      </c>
      <c r="C376" t="s">
        <v>273</v>
      </c>
      <c r="D376" t="s">
        <v>81</v>
      </c>
      <c r="E376">
        <v>315</v>
      </c>
      <c r="G376" s="1"/>
    </row>
    <row r="377" spans="1:7" x14ac:dyDescent="0.45">
      <c r="A377">
        <v>347</v>
      </c>
      <c r="B377" s="4">
        <v>45957</v>
      </c>
      <c r="C377" t="s">
        <v>274</v>
      </c>
      <c r="D377" t="s">
        <v>85</v>
      </c>
      <c r="E377">
        <v>900</v>
      </c>
      <c r="G377" s="1"/>
    </row>
    <row r="378" spans="1:7" x14ac:dyDescent="0.45">
      <c r="A378">
        <v>348</v>
      </c>
      <c r="B378" s="4">
        <v>45958</v>
      </c>
      <c r="C378" t="s">
        <v>275</v>
      </c>
      <c r="D378" t="s">
        <v>81</v>
      </c>
      <c r="E378">
        <v>32</v>
      </c>
      <c r="G378" s="1"/>
    </row>
    <row r="379" spans="1:7" x14ac:dyDescent="0.45">
      <c r="A379">
        <v>349</v>
      </c>
      <c r="B379" s="4">
        <v>45960</v>
      </c>
      <c r="C379" t="s">
        <v>276</v>
      </c>
      <c r="D379" t="s">
        <v>81</v>
      </c>
      <c r="E379">
        <v>440</v>
      </c>
      <c r="G379" s="1"/>
    </row>
    <row r="380" spans="1:7" x14ac:dyDescent="0.45">
      <c r="A380">
        <v>350</v>
      </c>
      <c r="B380" s="4">
        <v>45960</v>
      </c>
      <c r="C380" t="s">
        <v>277</v>
      </c>
      <c r="D380" t="s">
        <v>85</v>
      </c>
      <c r="E380">
        <v>300</v>
      </c>
      <c r="G380" s="1"/>
    </row>
    <row r="381" spans="1:7" x14ac:dyDescent="0.45">
      <c r="A381">
        <v>351</v>
      </c>
      <c r="B381" s="4">
        <v>45960</v>
      </c>
      <c r="C381" t="s">
        <v>278</v>
      </c>
      <c r="D381" t="s">
        <v>81</v>
      </c>
      <c r="E381">
        <v>38</v>
      </c>
      <c r="G381" s="1"/>
    </row>
    <row r="382" spans="1:7" x14ac:dyDescent="0.45">
      <c r="A382">
        <v>352</v>
      </c>
      <c r="B382" s="4">
        <v>45960</v>
      </c>
      <c r="C382" t="s">
        <v>279</v>
      </c>
      <c r="D382" t="s">
        <v>85</v>
      </c>
      <c r="E382">
        <v>225</v>
      </c>
      <c r="G382" s="1"/>
    </row>
    <row r="383" spans="1:7" x14ac:dyDescent="0.45">
      <c r="A383">
        <v>353</v>
      </c>
      <c r="B383" s="4">
        <v>45962</v>
      </c>
      <c r="C383" t="s">
        <v>93</v>
      </c>
      <c r="D383" t="s">
        <v>95</v>
      </c>
      <c r="F383">
        <f>SUM(E383:E412)</f>
        <v>9115.1859999999997</v>
      </c>
      <c r="G383" s="1"/>
    </row>
    <row r="384" spans="1:7" x14ac:dyDescent="0.45">
      <c r="A384">
        <v>354</v>
      </c>
      <c r="B384" s="4">
        <v>45962</v>
      </c>
      <c r="C384" t="s">
        <v>91</v>
      </c>
      <c r="D384" t="s">
        <v>94</v>
      </c>
      <c r="G384" s="1">
        <f>280+280+280+1000+280+250+290+280+280+7+280+280+280+220+280+280+280+150+250+150+290+270+500+7+240+270+230+300+280+280+280+250+280+280+250+280+230+280</f>
        <v>10474</v>
      </c>
    </row>
    <row r="385" spans="1:7" x14ac:dyDescent="0.45">
      <c r="A385">
        <v>355</v>
      </c>
      <c r="B385" s="4">
        <v>45962</v>
      </c>
      <c r="C385" s="6" t="s">
        <v>136</v>
      </c>
      <c r="D385" s="6" t="s">
        <v>84</v>
      </c>
      <c r="E385" s="6">
        <v>1500</v>
      </c>
    </row>
    <row r="386" spans="1:7" x14ac:dyDescent="0.45">
      <c r="A386">
        <v>356</v>
      </c>
      <c r="B386" s="4">
        <v>45962</v>
      </c>
      <c r="C386" t="s">
        <v>280</v>
      </c>
      <c r="D386" t="s">
        <v>83</v>
      </c>
      <c r="E386">
        <f>1268.1+40.5+162</f>
        <v>1470.6</v>
      </c>
      <c r="G386" s="1"/>
    </row>
    <row r="387" spans="1:7" x14ac:dyDescent="0.45">
      <c r="A387">
        <v>357</v>
      </c>
      <c r="B387" s="4">
        <v>45962</v>
      </c>
      <c r="C387" t="s">
        <v>142</v>
      </c>
      <c r="D387" t="s">
        <v>27</v>
      </c>
      <c r="E387">
        <v>70</v>
      </c>
      <c r="G387" s="1"/>
    </row>
    <row r="388" spans="1:7" x14ac:dyDescent="0.45">
      <c r="A388">
        <v>358</v>
      </c>
      <c r="B388" s="4">
        <v>45962</v>
      </c>
      <c r="C388" t="s">
        <v>255</v>
      </c>
      <c r="D388" t="s">
        <v>27</v>
      </c>
      <c r="E388">
        <f>180+100+120+160</f>
        <v>560</v>
      </c>
      <c r="G388" s="1"/>
    </row>
    <row r="389" spans="1:7" x14ac:dyDescent="0.45">
      <c r="A389">
        <v>359</v>
      </c>
      <c r="B389" s="4">
        <v>45962</v>
      </c>
      <c r="C389" t="s">
        <v>5</v>
      </c>
      <c r="D389" t="s">
        <v>27</v>
      </c>
      <c r="E389">
        <v>150</v>
      </c>
      <c r="G389" s="1"/>
    </row>
    <row r="390" spans="1:7" x14ac:dyDescent="0.45">
      <c r="A390">
        <v>360</v>
      </c>
      <c r="B390" s="4">
        <v>45962</v>
      </c>
      <c r="C390" t="s">
        <v>281</v>
      </c>
      <c r="D390" t="s">
        <v>85</v>
      </c>
      <c r="E390">
        <v>903.96199999999999</v>
      </c>
      <c r="G390" s="1"/>
    </row>
    <row r="391" spans="1:7" x14ac:dyDescent="0.45">
      <c r="A391">
        <v>361</v>
      </c>
      <c r="B391" s="4">
        <v>45962</v>
      </c>
      <c r="C391" t="s">
        <v>283</v>
      </c>
      <c r="D391" t="s">
        <v>85</v>
      </c>
      <c r="E391">
        <v>34.148000000000003</v>
      </c>
      <c r="G391" s="1"/>
    </row>
    <row r="392" spans="1:7" x14ac:dyDescent="0.45">
      <c r="A392">
        <v>362</v>
      </c>
      <c r="B392" s="4">
        <v>45966</v>
      </c>
      <c r="C392" t="s">
        <v>282</v>
      </c>
      <c r="D392" t="s">
        <v>85</v>
      </c>
      <c r="E392">
        <v>200</v>
      </c>
      <c r="G392" s="1"/>
    </row>
    <row r="393" spans="1:7" x14ac:dyDescent="0.45">
      <c r="A393">
        <v>363</v>
      </c>
      <c r="B393" s="4">
        <v>45966</v>
      </c>
      <c r="C393" t="s">
        <v>284</v>
      </c>
      <c r="D393" t="s">
        <v>26</v>
      </c>
      <c r="E393">
        <v>211.60499999999999</v>
      </c>
      <c r="G393" s="1"/>
    </row>
    <row r="394" spans="1:7" x14ac:dyDescent="0.45">
      <c r="A394">
        <v>364</v>
      </c>
      <c r="B394" s="4">
        <v>45967</v>
      </c>
      <c r="C394" t="s">
        <v>234</v>
      </c>
      <c r="D394" t="s">
        <v>26</v>
      </c>
      <c r="E394">
        <v>42.262999999999998</v>
      </c>
      <c r="G394" s="1"/>
    </row>
    <row r="395" spans="1:7" x14ac:dyDescent="0.45">
      <c r="A395">
        <v>365</v>
      </c>
      <c r="B395" s="4">
        <v>45967</v>
      </c>
      <c r="C395" t="s">
        <v>285</v>
      </c>
      <c r="D395" t="s">
        <v>85</v>
      </c>
      <c r="E395">
        <v>330</v>
      </c>
      <c r="G395" s="1"/>
    </row>
    <row r="396" spans="1:7" x14ac:dyDescent="0.45">
      <c r="A396">
        <v>366</v>
      </c>
      <c r="B396" s="4">
        <v>45971</v>
      </c>
      <c r="C396" t="s">
        <v>286</v>
      </c>
      <c r="D396" t="s">
        <v>27</v>
      </c>
      <c r="E396">
        <v>20</v>
      </c>
      <c r="G396" s="1"/>
    </row>
    <row r="397" spans="1:7" x14ac:dyDescent="0.45">
      <c r="A397">
        <v>367</v>
      </c>
      <c r="B397" s="4">
        <v>45971</v>
      </c>
      <c r="C397" t="s">
        <v>287</v>
      </c>
      <c r="D397" t="s">
        <v>85</v>
      </c>
      <c r="E397">
        <v>550</v>
      </c>
      <c r="G397" s="1"/>
    </row>
    <row r="398" spans="1:7" x14ac:dyDescent="0.45">
      <c r="A398">
        <v>368</v>
      </c>
      <c r="B398" s="4">
        <v>45971</v>
      </c>
      <c r="C398" t="s">
        <v>288</v>
      </c>
      <c r="D398" t="s">
        <v>85</v>
      </c>
      <c r="E398">
        <v>575</v>
      </c>
      <c r="G398" s="1"/>
    </row>
    <row r="399" spans="1:7" x14ac:dyDescent="0.45">
      <c r="A399">
        <v>369</v>
      </c>
      <c r="B399" s="4">
        <v>45974</v>
      </c>
      <c r="C399" t="s">
        <v>289</v>
      </c>
      <c r="D399" t="s">
        <v>85</v>
      </c>
      <c r="E399">
        <v>813.72500000000002</v>
      </c>
      <c r="G399" s="1"/>
    </row>
    <row r="400" spans="1:7" x14ac:dyDescent="0.45">
      <c r="A400">
        <v>370</v>
      </c>
      <c r="B400" s="4">
        <v>45974</v>
      </c>
      <c r="C400" t="s">
        <v>290</v>
      </c>
      <c r="D400" t="s">
        <v>85</v>
      </c>
      <c r="E400">
        <v>200</v>
      </c>
      <c r="G400" s="1"/>
    </row>
    <row r="401" spans="1:7" x14ac:dyDescent="0.45">
      <c r="A401">
        <v>371</v>
      </c>
      <c r="B401" s="4">
        <v>45974</v>
      </c>
      <c r="C401" t="s">
        <v>291</v>
      </c>
      <c r="D401" t="s">
        <v>85</v>
      </c>
      <c r="E401">
        <v>70</v>
      </c>
      <c r="G401" s="1"/>
    </row>
    <row r="402" spans="1:7" x14ac:dyDescent="0.45">
      <c r="A402">
        <v>372</v>
      </c>
      <c r="B402" s="4">
        <v>45974</v>
      </c>
      <c r="C402" t="s">
        <v>292</v>
      </c>
      <c r="D402" t="s">
        <v>85</v>
      </c>
      <c r="E402">
        <v>294.88299999999998</v>
      </c>
      <c r="G402" s="1"/>
    </row>
    <row r="403" spans="1:7" x14ac:dyDescent="0.45">
      <c r="A403">
        <v>373</v>
      </c>
      <c r="B403" s="4">
        <v>45978</v>
      </c>
      <c r="C403" t="s">
        <v>293</v>
      </c>
      <c r="D403" t="s">
        <v>85</v>
      </c>
      <c r="E403">
        <v>355</v>
      </c>
      <c r="G403" s="1"/>
    </row>
    <row r="404" spans="1:7" x14ac:dyDescent="0.45">
      <c r="A404">
        <v>374</v>
      </c>
      <c r="B404" s="4">
        <v>45978</v>
      </c>
      <c r="C404" t="s">
        <v>294</v>
      </c>
      <c r="D404" t="s">
        <v>85</v>
      </c>
      <c r="E404">
        <v>10</v>
      </c>
      <c r="G404" s="1"/>
    </row>
    <row r="405" spans="1:7" x14ac:dyDescent="0.45">
      <c r="A405">
        <v>375</v>
      </c>
      <c r="B405" s="4">
        <v>45981</v>
      </c>
      <c r="C405" t="s">
        <v>295</v>
      </c>
      <c r="D405" t="s">
        <v>85</v>
      </c>
      <c r="E405">
        <v>55</v>
      </c>
      <c r="G405" s="1"/>
    </row>
    <row r="406" spans="1:7" x14ac:dyDescent="0.45">
      <c r="A406">
        <v>376</v>
      </c>
      <c r="B406" s="4">
        <v>45983</v>
      </c>
      <c r="C406" t="s">
        <v>296</v>
      </c>
      <c r="D406" t="s">
        <v>85</v>
      </c>
      <c r="E406">
        <v>75</v>
      </c>
      <c r="G406" s="1"/>
    </row>
    <row r="407" spans="1:7" x14ac:dyDescent="0.45">
      <c r="A407">
        <v>377</v>
      </c>
      <c r="B407" s="4">
        <v>45984</v>
      </c>
      <c r="C407" t="s">
        <v>229</v>
      </c>
      <c r="D407" t="s">
        <v>85</v>
      </c>
      <c r="E407">
        <v>10</v>
      </c>
      <c r="G407" s="1"/>
    </row>
    <row r="408" spans="1:7" x14ac:dyDescent="0.45">
      <c r="A408">
        <v>378</v>
      </c>
      <c r="B408" s="4">
        <v>45985</v>
      </c>
      <c r="C408" t="s">
        <v>297</v>
      </c>
      <c r="D408" t="s">
        <v>85</v>
      </c>
      <c r="E408">
        <v>120</v>
      </c>
      <c r="G408" s="1"/>
    </row>
    <row r="409" spans="1:7" x14ac:dyDescent="0.45">
      <c r="A409">
        <v>379</v>
      </c>
      <c r="B409" s="4">
        <v>45985</v>
      </c>
      <c r="C409" t="s">
        <v>298</v>
      </c>
      <c r="D409" t="s">
        <v>85</v>
      </c>
      <c r="E409">
        <v>171</v>
      </c>
      <c r="G409" s="1"/>
    </row>
    <row r="410" spans="1:7" x14ac:dyDescent="0.45">
      <c r="A410">
        <v>380</v>
      </c>
      <c r="B410" s="4">
        <v>45986</v>
      </c>
      <c r="C410" t="s">
        <v>299</v>
      </c>
      <c r="D410" t="s">
        <v>81</v>
      </c>
      <c r="E410">
        <v>63</v>
      </c>
      <c r="G410" s="1"/>
    </row>
    <row r="411" spans="1:7" x14ac:dyDescent="0.45">
      <c r="A411">
        <v>381</v>
      </c>
      <c r="B411" s="4">
        <v>45986</v>
      </c>
      <c r="C411" t="s">
        <v>300</v>
      </c>
      <c r="D411" t="s">
        <v>85</v>
      </c>
      <c r="E411">
        <v>10</v>
      </c>
      <c r="G411" s="1"/>
    </row>
    <row r="412" spans="1:7" x14ac:dyDescent="0.45">
      <c r="A412">
        <v>382</v>
      </c>
      <c r="B412" s="4">
        <v>45991</v>
      </c>
      <c r="C412" t="s">
        <v>301</v>
      </c>
      <c r="D412" t="s">
        <v>80</v>
      </c>
      <c r="E412">
        <v>250</v>
      </c>
      <c r="G412" s="1"/>
    </row>
    <row r="413" spans="1:7" x14ac:dyDescent="0.45">
      <c r="A413">
        <v>383</v>
      </c>
      <c r="B413" s="4">
        <v>45962</v>
      </c>
      <c r="C413" t="s">
        <v>93</v>
      </c>
      <c r="D413" t="s">
        <v>95</v>
      </c>
      <c r="F413">
        <f>SUM(E413:E447)</f>
        <v>9951.6670000000013</v>
      </c>
      <c r="G413" s="1"/>
    </row>
    <row r="414" spans="1:7" x14ac:dyDescent="0.45">
      <c r="A414">
        <v>384</v>
      </c>
      <c r="B414" s="4">
        <v>45962</v>
      </c>
      <c r="C414" t="s">
        <v>91</v>
      </c>
      <c r="D414" t="s">
        <v>94</v>
      </c>
      <c r="G414" s="1">
        <f>280+300+250+70+290+280+280+280+280+280+220+220+300+280+280+280+280+240+280+280+280+250+220+270+220+280+250+230+280+280+280+280+250+280+230+280+280+250+250</f>
        <v>10190</v>
      </c>
    </row>
    <row r="415" spans="1:7" x14ac:dyDescent="0.45">
      <c r="A415">
        <v>385</v>
      </c>
      <c r="B415" s="4">
        <v>45992</v>
      </c>
      <c r="C415" s="6" t="s">
        <v>136</v>
      </c>
      <c r="D415" s="6" t="s">
        <v>84</v>
      </c>
      <c r="E415" s="6">
        <v>1500</v>
      </c>
    </row>
    <row r="416" spans="1:7" x14ac:dyDescent="0.45">
      <c r="A416">
        <v>386</v>
      </c>
      <c r="B416" s="4">
        <v>45992</v>
      </c>
      <c r="C416" t="s">
        <v>312</v>
      </c>
      <c r="D416" t="s">
        <v>83</v>
      </c>
      <c r="E416">
        <f>1357.2+40.5+162</f>
        <v>1559.7</v>
      </c>
      <c r="G416" s="1"/>
    </row>
    <row r="417" spans="1:7" x14ac:dyDescent="0.45">
      <c r="A417">
        <v>387</v>
      </c>
      <c r="B417" s="4">
        <v>45992</v>
      </c>
      <c r="C417" t="s">
        <v>5</v>
      </c>
      <c r="D417" t="s">
        <v>27</v>
      </c>
      <c r="E417">
        <v>150</v>
      </c>
      <c r="G417" s="1"/>
    </row>
    <row r="418" spans="1:7" x14ac:dyDescent="0.45">
      <c r="A418">
        <v>388</v>
      </c>
      <c r="B418" s="4">
        <v>45992</v>
      </c>
      <c r="C418" t="s">
        <v>302</v>
      </c>
      <c r="D418" t="s">
        <v>27</v>
      </c>
      <c r="E418">
        <v>70</v>
      </c>
      <c r="G418" s="1"/>
    </row>
    <row r="419" spans="1:7" x14ac:dyDescent="0.45">
      <c r="A419">
        <v>389</v>
      </c>
      <c r="B419" s="4">
        <v>45992</v>
      </c>
      <c r="C419" t="s">
        <v>255</v>
      </c>
      <c r="D419" t="s">
        <v>27</v>
      </c>
      <c r="E419">
        <f>160+180+100+120</f>
        <v>560</v>
      </c>
      <c r="G419" s="1"/>
    </row>
    <row r="420" spans="1:7" x14ac:dyDescent="0.45">
      <c r="A420">
        <v>390</v>
      </c>
      <c r="B420" s="4">
        <v>45992</v>
      </c>
      <c r="C420" t="s">
        <v>303</v>
      </c>
      <c r="D420" t="s">
        <v>85</v>
      </c>
      <c r="E420">
        <v>385.87200000000001</v>
      </c>
      <c r="G420" s="1"/>
    </row>
    <row r="421" spans="1:7" x14ac:dyDescent="0.45">
      <c r="A421">
        <v>391</v>
      </c>
      <c r="B421" s="4">
        <v>45992</v>
      </c>
      <c r="C421" t="s">
        <v>304</v>
      </c>
      <c r="D421" t="s">
        <v>85</v>
      </c>
      <c r="E421">
        <v>43.7</v>
      </c>
      <c r="G421" s="1"/>
    </row>
    <row r="422" spans="1:7" x14ac:dyDescent="0.45">
      <c r="A422">
        <v>392</v>
      </c>
      <c r="B422" s="4">
        <v>45998</v>
      </c>
      <c r="C422" t="s">
        <v>250</v>
      </c>
      <c r="D422" t="s">
        <v>85</v>
      </c>
      <c r="E422">
        <v>53</v>
      </c>
      <c r="G422" s="1"/>
    </row>
    <row r="423" spans="1:7" x14ac:dyDescent="0.45">
      <c r="A423">
        <v>393</v>
      </c>
      <c r="B423" s="4">
        <v>45998</v>
      </c>
      <c r="C423" t="s">
        <v>305</v>
      </c>
      <c r="D423" t="s">
        <v>81</v>
      </c>
      <c r="E423">
        <v>100</v>
      </c>
      <c r="G423" s="1"/>
    </row>
    <row r="424" spans="1:7" x14ac:dyDescent="0.45">
      <c r="A424">
        <v>394</v>
      </c>
      <c r="B424" s="4">
        <v>46000</v>
      </c>
      <c r="C424" t="s">
        <v>306</v>
      </c>
      <c r="D424" t="s">
        <v>85</v>
      </c>
      <c r="E424">
        <v>213.327</v>
      </c>
      <c r="G424" s="1"/>
    </row>
    <row r="425" spans="1:7" x14ac:dyDescent="0.45">
      <c r="A425">
        <v>395</v>
      </c>
      <c r="B425" s="4">
        <v>46000</v>
      </c>
      <c r="C425" t="s">
        <v>307</v>
      </c>
      <c r="D425" t="s">
        <v>85</v>
      </c>
      <c r="E425">
        <v>20.359000000000002</v>
      </c>
      <c r="G425" s="1"/>
    </row>
    <row r="426" spans="1:7" x14ac:dyDescent="0.45">
      <c r="A426">
        <v>396</v>
      </c>
      <c r="B426" s="4">
        <v>46000</v>
      </c>
      <c r="C426" t="s">
        <v>308</v>
      </c>
      <c r="D426" t="s">
        <v>85</v>
      </c>
      <c r="E426">
        <v>111.809</v>
      </c>
      <c r="G426" s="1"/>
    </row>
    <row r="427" spans="1:7" x14ac:dyDescent="0.45">
      <c r="A427">
        <v>397</v>
      </c>
      <c r="B427" s="4">
        <v>46000</v>
      </c>
      <c r="C427" t="s">
        <v>309</v>
      </c>
      <c r="D427" t="s">
        <v>85</v>
      </c>
      <c r="E427">
        <v>270</v>
      </c>
      <c r="G427" s="1"/>
    </row>
    <row r="428" spans="1:7" x14ac:dyDescent="0.45">
      <c r="A428">
        <v>398</v>
      </c>
      <c r="B428" s="4">
        <v>46001</v>
      </c>
      <c r="C428" t="s">
        <v>310</v>
      </c>
      <c r="D428" t="s">
        <v>85</v>
      </c>
      <c r="E428">
        <v>18</v>
      </c>
      <c r="G428" s="1"/>
    </row>
    <row r="429" spans="1:7" x14ac:dyDescent="0.45">
      <c r="A429">
        <v>399</v>
      </c>
      <c r="B429" s="4">
        <v>46002</v>
      </c>
      <c r="C429" t="s">
        <v>218</v>
      </c>
      <c r="D429" t="s">
        <v>81</v>
      </c>
      <c r="E429">
        <v>100</v>
      </c>
      <c r="G429" s="1"/>
    </row>
    <row r="430" spans="1:7" x14ac:dyDescent="0.45">
      <c r="A430">
        <v>400</v>
      </c>
      <c r="B430" s="4">
        <v>46002</v>
      </c>
      <c r="C430" t="s">
        <v>311</v>
      </c>
      <c r="D430" t="s">
        <v>80</v>
      </c>
      <c r="E430">
        <v>180</v>
      </c>
      <c r="G430" s="1"/>
    </row>
    <row r="431" spans="1:7" x14ac:dyDescent="0.45">
      <c r="A431">
        <v>401</v>
      </c>
      <c r="B431" s="4">
        <v>46005</v>
      </c>
      <c r="C431" t="s">
        <v>252</v>
      </c>
      <c r="D431" t="s">
        <v>80</v>
      </c>
      <c r="E431">
        <v>68.2</v>
      </c>
      <c r="G431" s="1"/>
    </row>
    <row r="432" spans="1:7" x14ac:dyDescent="0.45">
      <c r="A432">
        <v>402</v>
      </c>
      <c r="B432" s="4">
        <v>46005</v>
      </c>
      <c r="C432" t="s">
        <v>218</v>
      </c>
      <c r="D432" t="s">
        <v>81</v>
      </c>
      <c r="E432">
        <v>100</v>
      </c>
      <c r="G432" s="1"/>
    </row>
    <row r="433" spans="1:7" x14ac:dyDescent="0.45">
      <c r="A433">
        <v>403</v>
      </c>
      <c r="B433" s="4">
        <v>46009</v>
      </c>
      <c r="C433" t="s">
        <v>313</v>
      </c>
      <c r="D433" t="s">
        <v>85</v>
      </c>
      <c r="E433">
        <v>25</v>
      </c>
      <c r="G433" s="1"/>
    </row>
    <row r="434" spans="1:7" x14ac:dyDescent="0.45">
      <c r="A434">
        <v>404</v>
      </c>
      <c r="B434" s="4">
        <v>46010</v>
      </c>
      <c r="C434" t="s">
        <v>314</v>
      </c>
      <c r="D434" t="s">
        <v>27</v>
      </c>
      <c r="E434">
        <v>70</v>
      </c>
      <c r="G434" s="1"/>
    </row>
    <row r="435" spans="1:7" x14ac:dyDescent="0.45">
      <c r="A435">
        <v>405</v>
      </c>
      <c r="B435" s="4">
        <v>46014</v>
      </c>
      <c r="C435" t="s">
        <v>315</v>
      </c>
      <c r="D435" t="s">
        <v>85</v>
      </c>
      <c r="E435">
        <v>200</v>
      </c>
      <c r="G435" s="1"/>
    </row>
    <row r="436" spans="1:7" x14ac:dyDescent="0.45">
      <c r="A436">
        <v>406</v>
      </c>
      <c r="B436" s="4">
        <v>46014</v>
      </c>
      <c r="C436" t="s">
        <v>316</v>
      </c>
      <c r="D436" t="s">
        <v>85</v>
      </c>
      <c r="E436">
        <v>15</v>
      </c>
      <c r="G436" s="1"/>
    </row>
    <row r="437" spans="1:7" x14ac:dyDescent="0.45">
      <c r="A437">
        <v>407</v>
      </c>
      <c r="B437" s="4">
        <v>46019</v>
      </c>
      <c r="C437" t="s">
        <v>317</v>
      </c>
      <c r="D437" t="s">
        <v>81</v>
      </c>
      <c r="E437">
        <v>100</v>
      </c>
      <c r="G437" s="1"/>
    </row>
    <row r="438" spans="1:7" x14ac:dyDescent="0.45">
      <c r="A438">
        <v>408</v>
      </c>
      <c r="B438" s="4">
        <v>46019</v>
      </c>
      <c r="C438" t="s">
        <v>318</v>
      </c>
      <c r="D438" t="s">
        <v>26</v>
      </c>
      <c r="E438">
        <v>20</v>
      </c>
      <c r="G438" s="1"/>
    </row>
    <row r="439" spans="1:7" x14ac:dyDescent="0.45">
      <c r="A439">
        <v>409</v>
      </c>
      <c r="B439" s="4">
        <v>46020</v>
      </c>
      <c r="C439" t="s">
        <v>319</v>
      </c>
      <c r="D439" t="s">
        <v>85</v>
      </c>
      <c r="E439">
        <v>200</v>
      </c>
      <c r="G439" s="1"/>
    </row>
    <row r="440" spans="1:7" x14ac:dyDescent="0.45">
      <c r="A440">
        <v>383</v>
      </c>
      <c r="B440" s="4">
        <v>46023</v>
      </c>
      <c r="C440" t="s">
        <v>93</v>
      </c>
      <c r="D440" t="s">
        <v>95</v>
      </c>
      <c r="F440">
        <f>SUM(E440:E462)</f>
        <v>5744.97</v>
      </c>
      <c r="G440" s="1"/>
    </row>
    <row r="441" spans="1:7" x14ac:dyDescent="0.45">
      <c r="A441">
        <v>384</v>
      </c>
      <c r="B441" s="4">
        <v>46023</v>
      </c>
      <c r="C441" t="s">
        <v>91</v>
      </c>
      <c r="D441" t="s">
        <v>94</v>
      </c>
      <c r="G441" s="1">
        <f>300+280+280+290+280+280+280+240+280+340+230+220+280+220+270+240+280+290+280+280+250+230+280+280+250+280+280+280+250+250+280+280+280+230+280+220+280</f>
        <v>9920</v>
      </c>
    </row>
    <row r="442" spans="1:7" x14ac:dyDescent="0.45">
      <c r="A442">
        <v>385</v>
      </c>
      <c r="B442" s="4">
        <v>46023</v>
      </c>
      <c r="C442" s="6" t="s">
        <v>136</v>
      </c>
      <c r="D442" s="6" t="s">
        <v>84</v>
      </c>
      <c r="E442" s="6">
        <v>1500</v>
      </c>
    </row>
    <row r="443" spans="1:7" x14ac:dyDescent="0.45">
      <c r="A443">
        <v>386</v>
      </c>
      <c r="B443" s="4">
        <v>46023</v>
      </c>
      <c r="C443" t="s">
        <v>312</v>
      </c>
      <c r="D443" t="s">
        <v>83</v>
      </c>
      <c r="E443">
        <f>1357.2+40.5+162</f>
        <v>1559.7</v>
      </c>
      <c r="G443" s="1"/>
    </row>
    <row r="444" spans="1:7" x14ac:dyDescent="0.45">
      <c r="A444">
        <v>387</v>
      </c>
      <c r="B444" s="4">
        <v>46023</v>
      </c>
      <c r="C444" t="s">
        <v>5</v>
      </c>
      <c r="D444" t="s">
        <v>27</v>
      </c>
      <c r="E444">
        <v>150</v>
      </c>
      <c r="G444" s="1"/>
    </row>
    <row r="445" spans="1:7" x14ac:dyDescent="0.45">
      <c r="A445">
        <v>388</v>
      </c>
      <c r="B445" s="4">
        <v>46023</v>
      </c>
      <c r="C445" t="s">
        <v>142</v>
      </c>
      <c r="D445" t="s">
        <v>27</v>
      </c>
      <c r="E445">
        <v>70</v>
      </c>
      <c r="G445" s="1"/>
    </row>
    <row r="446" spans="1:7" x14ac:dyDescent="0.45">
      <c r="A446">
        <v>389</v>
      </c>
      <c r="B446" s="4">
        <v>46023</v>
      </c>
      <c r="C446" t="s">
        <v>255</v>
      </c>
      <c r="D446" t="s">
        <v>27</v>
      </c>
      <c r="E446">
        <v>473</v>
      </c>
      <c r="G446" s="1"/>
    </row>
    <row r="447" spans="1:7" x14ac:dyDescent="0.45">
      <c r="A447">
        <v>389</v>
      </c>
      <c r="B447" s="4">
        <v>46023</v>
      </c>
      <c r="C447" t="s">
        <v>278</v>
      </c>
      <c r="D447" t="s">
        <v>81</v>
      </c>
      <c r="E447">
        <v>65</v>
      </c>
      <c r="G447" s="1"/>
    </row>
    <row r="448" spans="1:7" x14ac:dyDescent="0.45">
      <c r="A448">
        <v>390</v>
      </c>
      <c r="B448" s="4">
        <v>46024</v>
      </c>
      <c r="C448" t="s">
        <v>320</v>
      </c>
      <c r="D448" t="s">
        <v>81</v>
      </c>
      <c r="E448">
        <v>350</v>
      </c>
      <c r="G448" s="1"/>
    </row>
    <row r="449" spans="1:7" x14ac:dyDescent="0.45">
      <c r="A449">
        <v>391</v>
      </c>
      <c r="B449" s="4">
        <v>46034</v>
      </c>
      <c r="C449" t="s">
        <v>222</v>
      </c>
      <c r="D449" t="s">
        <v>85</v>
      </c>
      <c r="E449">
        <v>85</v>
      </c>
      <c r="G449" s="1"/>
    </row>
    <row r="450" spans="1:7" x14ac:dyDescent="0.45">
      <c r="A450">
        <v>392</v>
      </c>
      <c r="B450" s="4">
        <v>46035</v>
      </c>
      <c r="C450" t="s">
        <v>321</v>
      </c>
      <c r="D450" t="s">
        <v>85</v>
      </c>
      <c r="E450">
        <v>22.878</v>
      </c>
      <c r="G450" s="1"/>
    </row>
    <row r="451" spans="1:7" x14ac:dyDescent="0.45">
      <c r="A451">
        <v>393</v>
      </c>
      <c r="B451" s="4">
        <v>46035</v>
      </c>
      <c r="C451" t="s">
        <v>322</v>
      </c>
      <c r="D451" t="s">
        <v>85</v>
      </c>
      <c r="E451">
        <v>180.99100000000001</v>
      </c>
      <c r="G451" s="1"/>
    </row>
    <row r="452" spans="1:7" x14ac:dyDescent="0.45">
      <c r="A452">
        <v>394</v>
      </c>
      <c r="B452" s="4">
        <v>46036</v>
      </c>
      <c r="C452" t="s">
        <v>323</v>
      </c>
      <c r="D452" t="s">
        <v>85</v>
      </c>
      <c r="E452">
        <v>50.234000000000002</v>
      </c>
      <c r="G452" s="1"/>
    </row>
    <row r="453" spans="1:7" x14ac:dyDescent="0.45">
      <c r="A453">
        <v>395</v>
      </c>
      <c r="B453" s="4">
        <v>46037</v>
      </c>
      <c r="C453" t="s">
        <v>278</v>
      </c>
      <c r="D453" t="s">
        <v>81</v>
      </c>
      <c r="E453">
        <v>20</v>
      </c>
      <c r="G453" s="1"/>
    </row>
    <row r="454" spans="1:7" x14ac:dyDescent="0.45">
      <c r="A454">
        <v>396</v>
      </c>
      <c r="B454" s="4">
        <v>46038</v>
      </c>
      <c r="C454" t="s">
        <v>324</v>
      </c>
      <c r="D454" t="s">
        <v>80</v>
      </c>
      <c r="E454">
        <v>525</v>
      </c>
      <c r="G454" s="1"/>
    </row>
    <row r="455" spans="1:7" x14ac:dyDescent="0.45">
      <c r="A455">
        <v>397</v>
      </c>
      <c r="B455" s="4">
        <v>46039</v>
      </c>
      <c r="C455" t="s">
        <v>325</v>
      </c>
      <c r="D455" t="s">
        <v>85</v>
      </c>
      <c r="E455">
        <v>30</v>
      </c>
      <c r="G455" s="1"/>
    </row>
    <row r="456" spans="1:7" x14ac:dyDescent="0.45">
      <c r="A456">
        <v>398</v>
      </c>
      <c r="B456" s="4">
        <v>46040</v>
      </c>
      <c r="C456" t="s">
        <v>326</v>
      </c>
      <c r="D456" t="s">
        <v>85</v>
      </c>
      <c r="E456">
        <v>12</v>
      </c>
      <c r="G456" s="1"/>
    </row>
    <row r="457" spans="1:7" x14ac:dyDescent="0.45">
      <c r="A457">
        <v>399</v>
      </c>
      <c r="B457" s="4">
        <v>46041</v>
      </c>
      <c r="C457" t="s">
        <v>327</v>
      </c>
      <c r="D457" t="s">
        <v>85</v>
      </c>
      <c r="E457">
        <v>55</v>
      </c>
      <c r="G457" s="1"/>
    </row>
    <row r="458" spans="1:7" x14ac:dyDescent="0.45">
      <c r="A458">
        <v>400</v>
      </c>
      <c r="B458" s="4">
        <v>46043</v>
      </c>
      <c r="C458" t="s">
        <v>328</v>
      </c>
      <c r="D458" t="s">
        <v>85</v>
      </c>
      <c r="E458">
        <v>45</v>
      </c>
      <c r="G458" s="1"/>
    </row>
    <row r="459" spans="1:7" x14ac:dyDescent="0.45">
      <c r="A459">
        <v>401</v>
      </c>
      <c r="B459" s="4">
        <v>46043</v>
      </c>
      <c r="C459" t="s">
        <v>329</v>
      </c>
      <c r="D459" t="s">
        <v>85</v>
      </c>
      <c r="E459">
        <v>10</v>
      </c>
      <c r="G459" s="1"/>
    </row>
    <row r="460" spans="1:7" x14ac:dyDescent="0.45">
      <c r="A460">
        <v>402</v>
      </c>
      <c r="B460" s="4">
        <v>46043</v>
      </c>
      <c r="C460" t="s">
        <v>330</v>
      </c>
      <c r="D460" t="s">
        <v>85</v>
      </c>
      <c r="E460">
        <v>30</v>
      </c>
      <c r="G460" s="1"/>
    </row>
    <row r="461" spans="1:7" x14ac:dyDescent="0.45">
      <c r="A461">
        <v>403</v>
      </c>
      <c r="B461" s="4">
        <v>46047</v>
      </c>
      <c r="C461" t="s">
        <v>331</v>
      </c>
      <c r="D461" t="s">
        <v>26</v>
      </c>
      <c r="E461">
        <v>461.16699999999997</v>
      </c>
      <c r="G461" s="1"/>
    </row>
    <row r="462" spans="1:7" x14ac:dyDescent="0.45">
      <c r="A462">
        <v>404</v>
      </c>
      <c r="B462" s="4">
        <v>46047</v>
      </c>
      <c r="C462" t="s">
        <v>332</v>
      </c>
      <c r="D462" t="s">
        <v>81</v>
      </c>
      <c r="E462">
        <v>50</v>
      </c>
      <c r="G462" s="1"/>
    </row>
    <row r="463" spans="1:7" x14ac:dyDescent="0.45">
      <c r="A463">
        <v>405</v>
      </c>
      <c r="B463" s="4">
        <v>46023</v>
      </c>
      <c r="C463" t="s">
        <v>93</v>
      </c>
      <c r="D463" t="s">
        <v>95</v>
      </c>
      <c r="F463">
        <f>SUM(E463:E489)</f>
        <v>13009.881999999998</v>
      </c>
      <c r="G463" s="1"/>
    </row>
    <row r="464" spans="1:7" x14ac:dyDescent="0.45">
      <c r="A464">
        <v>406</v>
      </c>
      <c r="B464" s="4">
        <v>46023</v>
      </c>
      <c r="C464" t="s">
        <v>91</v>
      </c>
      <c r="D464" t="s">
        <v>94</v>
      </c>
      <c r="G464" s="1">
        <f>280+280+230+280+220+280+300+270+290+220+280+280+280+280+280+280+250+240+280+270+200+220+220+140+150+280+140+100+280+230+280+50+280+130+280+280+280+250+250+280+280</f>
        <v>9970</v>
      </c>
    </row>
    <row r="465" spans="1:7" x14ac:dyDescent="0.45">
      <c r="A465">
        <v>407</v>
      </c>
      <c r="B465" s="4">
        <v>46054</v>
      </c>
      <c r="C465" s="6" t="s">
        <v>136</v>
      </c>
      <c r="D465" s="6" t="s">
        <v>84</v>
      </c>
      <c r="E465" s="6">
        <v>1500</v>
      </c>
    </row>
    <row r="466" spans="1:7" x14ac:dyDescent="0.45">
      <c r="A466">
        <v>408</v>
      </c>
      <c r="B466" s="4">
        <v>46054</v>
      </c>
      <c r="C466" t="s">
        <v>312</v>
      </c>
      <c r="D466" t="s">
        <v>83</v>
      </c>
      <c r="E466">
        <f>1357.2+40.5+162</f>
        <v>1559.7</v>
      </c>
      <c r="G466" s="1"/>
    </row>
    <row r="467" spans="1:7" x14ac:dyDescent="0.45">
      <c r="A467">
        <v>409</v>
      </c>
      <c r="B467" s="4">
        <v>46054</v>
      </c>
      <c r="C467" t="s">
        <v>5</v>
      </c>
      <c r="D467" t="s">
        <v>27</v>
      </c>
      <c r="E467">
        <v>150</v>
      </c>
      <c r="G467" s="1"/>
    </row>
    <row r="468" spans="1:7" x14ac:dyDescent="0.45">
      <c r="A468">
        <v>410</v>
      </c>
      <c r="B468" s="4">
        <v>46054</v>
      </c>
      <c r="C468" t="s">
        <v>142</v>
      </c>
      <c r="D468" t="s">
        <v>27</v>
      </c>
      <c r="E468">
        <v>70</v>
      </c>
      <c r="G468" s="1"/>
    </row>
    <row r="469" spans="1:7" x14ac:dyDescent="0.45">
      <c r="A469">
        <v>411</v>
      </c>
      <c r="B469" s="4">
        <v>46054</v>
      </c>
      <c r="C469" t="s">
        <v>255</v>
      </c>
      <c r="D469" t="s">
        <v>27</v>
      </c>
      <c r="E469">
        <f>120+100+180+160</f>
        <v>560</v>
      </c>
      <c r="G469" s="1"/>
    </row>
    <row r="470" spans="1:7" x14ac:dyDescent="0.45">
      <c r="A470">
        <v>412</v>
      </c>
      <c r="B470" s="4">
        <v>46055</v>
      </c>
      <c r="C470" t="s">
        <v>333</v>
      </c>
      <c r="D470" t="s">
        <v>26</v>
      </c>
      <c r="E470">
        <v>20</v>
      </c>
      <c r="G470" s="1"/>
    </row>
    <row r="471" spans="1:7" x14ac:dyDescent="0.45">
      <c r="A471">
        <v>413</v>
      </c>
      <c r="B471" s="4">
        <v>46056</v>
      </c>
      <c r="E471">
        <v>50</v>
      </c>
      <c r="G471" s="1"/>
    </row>
    <row r="472" spans="1:7" x14ac:dyDescent="0.45">
      <c r="A472">
        <v>414</v>
      </c>
      <c r="B472" s="4">
        <v>46057</v>
      </c>
      <c r="C472" t="s">
        <v>334</v>
      </c>
      <c r="D472" t="s">
        <v>85</v>
      </c>
      <c r="E472">
        <v>89.981999999999999</v>
      </c>
      <c r="G472" s="1"/>
    </row>
    <row r="473" spans="1:7" x14ac:dyDescent="0.45">
      <c r="A473">
        <v>415</v>
      </c>
      <c r="B473" s="4">
        <v>46058</v>
      </c>
      <c r="C473" t="s">
        <v>335</v>
      </c>
      <c r="D473" t="s">
        <v>85</v>
      </c>
      <c r="E473">
        <v>17.405000000000001</v>
      </c>
      <c r="G473" s="1"/>
    </row>
    <row r="474" spans="1:7" x14ac:dyDescent="0.45">
      <c r="A474">
        <v>416</v>
      </c>
      <c r="B474" s="4">
        <v>46059</v>
      </c>
      <c r="C474" t="s">
        <v>336</v>
      </c>
      <c r="D474" t="s">
        <v>85</v>
      </c>
      <c r="E474">
        <v>48.91</v>
      </c>
      <c r="G474" s="1"/>
    </row>
    <row r="475" spans="1:7" x14ac:dyDescent="0.45">
      <c r="A475">
        <v>417</v>
      </c>
      <c r="B475" s="4">
        <v>46060</v>
      </c>
      <c r="C475" t="s">
        <v>337</v>
      </c>
      <c r="D475" t="s">
        <v>26</v>
      </c>
      <c r="E475">
        <v>112.892</v>
      </c>
      <c r="G475" s="1"/>
    </row>
    <row r="476" spans="1:7" x14ac:dyDescent="0.45">
      <c r="A476">
        <v>418</v>
      </c>
      <c r="B476" s="4">
        <v>46061</v>
      </c>
      <c r="C476" t="s">
        <v>338</v>
      </c>
      <c r="D476" t="s">
        <v>81</v>
      </c>
      <c r="E476">
        <v>80</v>
      </c>
      <c r="G476" s="1"/>
    </row>
    <row r="477" spans="1:7" x14ac:dyDescent="0.45">
      <c r="A477">
        <v>419</v>
      </c>
      <c r="B477" s="4">
        <v>46062</v>
      </c>
      <c r="C477" t="s">
        <v>339</v>
      </c>
      <c r="D477" t="s">
        <v>85</v>
      </c>
      <c r="E477">
        <v>4000</v>
      </c>
      <c r="G477" s="1"/>
    </row>
    <row r="478" spans="1:7" x14ac:dyDescent="0.45">
      <c r="A478">
        <v>420</v>
      </c>
      <c r="B478" s="4">
        <v>46063</v>
      </c>
      <c r="C478" t="s">
        <v>153</v>
      </c>
      <c r="D478" t="s">
        <v>85</v>
      </c>
      <c r="E478">
        <v>40</v>
      </c>
      <c r="G478" s="1"/>
    </row>
    <row r="479" spans="1:7" x14ac:dyDescent="0.45">
      <c r="A479">
        <v>421</v>
      </c>
      <c r="B479" s="4">
        <v>46064</v>
      </c>
      <c r="C479" t="s">
        <v>340</v>
      </c>
      <c r="D479" t="s">
        <v>85</v>
      </c>
      <c r="E479">
        <v>10</v>
      </c>
      <c r="G479" s="1"/>
    </row>
    <row r="480" spans="1:7" x14ac:dyDescent="0.45">
      <c r="A480">
        <v>422</v>
      </c>
      <c r="B480" s="4">
        <v>46065</v>
      </c>
      <c r="C480" t="s">
        <v>341</v>
      </c>
      <c r="D480" t="s">
        <v>85</v>
      </c>
      <c r="E480">
        <v>37</v>
      </c>
      <c r="G480" s="1"/>
    </row>
    <row r="481" spans="1:7" x14ac:dyDescent="0.45">
      <c r="A481">
        <v>423</v>
      </c>
      <c r="B481" s="4">
        <v>46066</v>
      </c>
      <c r="C481" t="s">
        <v>342</v>
      </c>
      <c r="D481" t="s">
        <v>85</v>
      </c>
      <c r="E481">
        <v>24.8</v>
      </c>
      <c r="G481" s="1"/>
    </row>
    <row r="482" spans="1:7" x14ac:dyDescent="0.45">
      <c r="A482">
        <v>424</v>
      </c>
      <c r="B482" s="4">
        <v>46068</v>
      </c>
      <c r="C482" t="s">
        <v>343</v>
      </c>
      <c r="D482" t="s">
        <v>85</v>
      </c>
      <c r="E482">
        <v>18</v>
      </c>
      <c r="G482" s="1"/>
    </row>
    <row r="483" spans="1:7" x14ac:dyDescent="0.45">
      <c r="A483">
        <v>425</v>
      </c>
      <c r="B483" s="4">
        <v>46073</v>
      </c>
      <c r="C483" t="s">
        <v>318</v>
      </c>
      <c r="D483" t="s">
        <v>26</v>
      </c>
      <c r="E483">
        <v>20</v>
      </c>
      <c r="G483" s="1"/>
    </row>
    <row r="484" spans="1:7" x14ac:dyDescent="0.45">
      <c r="A484">
        <v>426</v>
      </c>
      <c r="B484" s="4">
        <v>46074</v>
      </c>
      <c r="C484" t="s">
        <v>344</v>
      </c>
      <c r="D484" t="s">
        <v>85</v>
      </c>
      <c r="E484">
        <v>50</v>
      </c>
      <c r="G484" s="1"/>
    </row>
    <row r="485" spans="1:7" x14ac:dyDescent="0.45">
      <c r="A485">
        <v>427</v>
      </c>
      <c r="B485" s="4">
        <v>46075</v>
      </c>
      <c r="C485" t="s">
        <v>345</v>
      </c>
      <c r="D485" t="s">
        <v>82</v>
      </c>
      <c r="E485">
        <v>163</v>
      </c>
      <c r="G485" s="1"/>
    </row>
    <row r="486" spans="1:7" x14ac:dyDescent="0.45">
      <c r="A486">
        <v>428</v>
      </c>
      <c r="B486" s="4">
        <v>46076</v>
      </c>
      <c r="C486" t="s">
        <v>346</v>
      </c>
      <c r="D486" t="s">
        <v>81</v>
      </c>
      <c r="E486">
        <v>80</v>
      </c>
      <c r="G486" s="1"/>
    </row>
    <row r="487" spans="1:7" x14ac:dyDescent="0.45">
      <c r="A487">
        <v>429</v>
      </c>
      <c r="B487" s="4">
        <v>46081</v>
      </c>
      <c r="C487" t="s">
        <v>347</v>
      </c>
      <c r="D487" t="s">
        <v>85</v>
      </c>
      <c r="E487">
        <v>150</v>
      </c>
      <c r="G487" s="1"/>
    </row>
    <row r="488" spans="1:7" x14ac:dyDescent="0.45">
      <c r="A488">
        <v>430</v>
      </c>
      <c r="B488" s="4">
        <v>46081</v>
      </c>
      <c r="C488" t="s">
        <v>284</v>
      </c>
      <c r="D488" t="s">
        <v>87</v>
      </c>
      <c r="E488">
        <v>208.19300000000001</v>
      </c>
      <c r="G488" s="1"/>
    </row>
    <row r="489" spans="1:7" x14ac:dyDescent="0.45">
      <c r="A489">
        <v>431</v>
      </c>
      <c r="B489" s="4">
        <v>46081</v>
      </c>
      <c r="C489" t="s">
        <v>348</v>
      </c>
      <c r="D489" t="s">
        <v>85</v>
      </c>
      <c r="E489">
        <v>3950</v>
      </c>
      <c r="G489" s="1"/>
    </row>
    <row r="490" spans="1:7" x14ac:dyDescent="0.45">
      <c r="A490">
        <v>432</v>
      </c>
      <c r="B490" s="4">
        <v>46082</v>
      </c>
      <c r="C490" t="s">
        <v>93</v>
      </c>
      <c r="D490" t="s">
        <v>95</v>
      </c>
      <c r="F490">
        <f>SUM(E490:E531)</f>
        <v>14489.012999999999</v>
      </c>
      <c r="G490" s="1"/>
    </row>
    <row r="491" spans="1:7" x14ac:dyDescent="0.45">
      <c r="A491">
        <v>433</v>
      </c>
      <c r="B491" s="4">
        <v>46082</v>
      </c>
      <c r="C491" t="s">
        <v>91</v>
      </c>
      <c r="D491" t="s">
        <v>94</v>
      </c>
      <c r="G491" s="1">
        <f>230+280+280+500+250+300+280+220+280+280+280+280+250+280+280+220+220+280+280+290+270+290+500+250+280+280+280+230+220+220+280+280+180+280+240+280+250+280+1300+260</f>
        <v>12010</v>
      </c>
    </row>
    <row r="492" spans="1:7" x14ac:dyDescent="0.45">
      <c r="A492">
        <v>434</v>
      </c>
      <c r="B492" s="4">
        <v>46082</v>
      </c>
      <c r="C492" s="6" t="s">
        <v>136</v>
      </c>
      <c r="D492" s="6" t="s">
        <v>84</v>
      </c>
      <c r="E492" s="6">
        <v>1500</v>
      </c>
    </row>
    <row r="493" spans="1:7" x14ac:dyDescent="0.45">
      <c r="A493">
        <v>435</v>
      </c>
      <c r="B493" s="4">
        <v>46082</v>
      </c>
      <c r="C493" t="s">
        <v>312</v>
      </c>
      <c r="D493" t="s">
        <v>83</v>
      </c>
      <c r="E493">
        <f>1357.2+40.5+162</f>
        <v>1559.7</v>
      </c>
      <c r="G493" s="1"/>
    </row>
    <row r="494" spans="1:7" x14ac:dyDescent="0.45">
      <c r="A494">
        <v>436</v>
      </c>
      <c r="B494" s="4">
        <v>46082</v>
      </c>
      <c r="C494" t="s">
        <v>5</v>
      </c>
      <c r="D494" t="s">
        <v>27</v>
      </c>
      <c r="E494">
        <v>150</v>
      </c>
      <c r="G494" s="1"/>
    </row>
    <row r="495" spans="1:7" x14ac:dyDescent="0.45">
      <c r="A495">
        <v>437</v>
      </c>
      <c r="B495" s="4">
        <v>46082</v>
      </c>
      <c r="C495" t="s">
        <v>142</v>
      </c>
      <c r="D495" t="s">
        <v>27</v>
      </c>
      <c r="E495">
        <v>70</v>
      </c>
      <c r="G495" s="1"/>
    </row>
    <row r="496" spans="1:7" x14ac:dyDescent="0.45">
      <c r="A496">
        <v>438</v>
      </c>
      <c r="B496" s="4">
        <v>46082</v>
      </c>
      <c r="C496" t="s">
        <v>255</v>
      </c>
      <c r="D496" t="s">
        <v>27</v>
      </c>
      <c r="E496">
        <f>120+100+180+160</f>
        <v>560</v>
      </c>
      <c r="G496" s="1"/>
    </row>
    <row r="497" spans="1:7" x14ac:dyDescent="0.45">
      <c r="A497">
        <v>439</v>
      </c>
      <c r="B497" s="4">
        <v>46082</v>
      </c>
      <c r="C497" t="s">
        <v>334</v>
      </c>
      <c r="D497" t="s">
        <v>85</v>
      </c>
      <c r="E497">
        <v>55</v>
      </c>
      <c r="G497" s="1"/>
    </row>
    <row r="498" spans="1:7" x14ac:dyDescent="0.45">
      <c r="A498">
        <v>440</v>
      </c>
      <c r="B498" s="4">
        <v>46082</v>
      </c>
      <c r="C498" t="s">
        <v>335</v>
      </c>
      <c r="D498" t="s">
        <v>85</v>
      </c>
      <c r="E498">
        <v>18.404</v>
      </c>
      <c r="G498" s="1"/>
    </row>
    <row r="499" spans="1:7" x14ac:dyDescent="0.45">
      <c r="A499">
        <v>441</v>
      </c>
      <c r="B499" s="4">
        <v>46082</v>
      </c>
      <c r="C499" t="s">
        <v>336</v>
      </c>
      <c r="D499" t="s">
        <v>85</v>
      </c>
      <c r="E499">
        <v>47.502000000000002</v>
      </c>
      <c r="G499" s="1"/>
    </row>
    <row r="500" spans="1:7" x14ac:dyDescent="0.45">
      <c r="A500">
        <v>442</v>
      </c>
      <c r="B500" s="4">
        <v>46082</v>
      </c>
      <c r="C500" t="s">
        <v>337</v>
      </c>
      <c r="D500" t="s">
        <v>26</v>
      </c>
      <c r="E500">
        <v>100.342</v>
      </c>
      <c r="G500" s="1"/>
    </row>
    <row r="501" spans="1:7" x14ac:dyDescent="0.45">
      <c r="A501">
        <v>443</v>
      </c>
      <c r="B501" s="4">
        <v>46083</v>
      </c>
      <c r="C501" t="s">
        <v>284</v>
      </c>
      <c r="D501" t="s">
        <v>87</v>
      </c>
      <c r="E501">
        <v>147.5</v>
      </c>
      <c r="G501" s="1"/>
    </row>
    <row r="502" spans="1:7" x14ac:dyDescent="0.45">
      <c r="A502">
        <v>444</v>
      </c>
      <c r="B502" s="4">
        <v>46083</v>
      </c>
      <c r="C502" t="s">
        <v>349</v>
      </c>
      <c r="D502" t="s">
        <v>81</v>
      </c>
      <c r="E502">
        <v>60</v>
      </c>
      <c r="G502" s="1"/>
    </row>
    <row r="503" spans="1:7" x14ac:dyDescent="0.45">
      <c r="A503">
        <v>445</v>
      </c>
      <c r="B503" s="4">
        <v>46083</v>
      </c>
      <c r="C503" t="s">
        <v>350</v>
      </c>
      <c r="D503" t="s">
        <v>85</v>
      </c>
      <c r="E503">
        <v>50</v>
      </c>
      <c r="G503" s="1"/>
    </row>
    <row r="504" spans="1:7" x14ac:dyDescent="0.45">
      <c r="A504">
        <v>446</v>
      </c>
      <c r="B504" s="4">
        <v>46083</v>
      </c>
      <c r="C504" t="s">
        <v>351</v>
      </c>
      <c r="D504" t="s">
        <v>81</v>
      </c>
      <c r="E504">
        <v>90</v>
      </c>
      <c r="G504" s="1"/>
    </row>
    <row r="505" spans="1:7" x14ac:dyDescent="0.45">
      <c r="A505">
        <v>447</v>
      </c>
      <c r="B505" s="4">
        <v>46083</v>
      </c>
      <c r="C505" t="s">
        <v>352</v>
      </c>
      <c r="D505" t="s">
        <v>26</v>
      </c>
      <c r="E505">
        <v>79.275000000000006</v>
      </c>
      <c r="G505" s="1"/>
    </row>
    <row r="506" spans="1:7" x14ac:dyDescent="0.45">
      <c r="A506">
        <v>448</v>
      </c>
      <c r="B506" s="4">
        <v>46084</v>
      </c>
      <c r="C506" t="s">
        <v>326</v>
      </c>
      <c r="D506" t="s">
        <v>85</v>
      </c>
      <c r="E506">
        <v>40</v>
      </c>
      <c r="G506" s="1"/>
    </row>
    <row r="507" spans="1:7" x14ac:dyDescent="0.45">
      <c r="A507">
        <v>449</v>
      </c>
      <c r="B507" s="4">
        <v>46085</v>
      </c>
      <c r="C507" t="s">
        <v>353</v>
      </c>
      <c r="D507" t="s">
        <v>85</v>
      </c>
      <c r="E507">
        <v>135</v>
      </c>
      <c r="G507" s="1"/>
    </row>
    <row r="508" spans="1:7" x14ac:dyDescent="0.45">
      <c r="A508">
        <v>450</v>
      </c>
      <c r="B508" s="4">
        <v>46086</v>
      </c>
      <c r="C508" t="s">
        <v>189</v>
      </c>
      <c r="D508" t="s">
        <v>85</v>
      </c>
      <c r="E508">
        <v>50</v>
      </c>
      <c r="G508" s="1"/>
    </row>
    <row r="509" spans="1:7" x14ac:dyDescent="0.45">
      <c r="A509">
        <v>451</v>
      </c>
      <c r="B509" s="4">
        <v>46086</v>
      </c>
      <c r="C509" t="s">
        <v>354</v>
      </c>
      <c r="D509" t="s">
        <v>81</v>
      </c>
      <c r="E509">
        <v>90</v>
      </c>
      <c r="G509" s="1"/>
    </row>
    <row r="510" spans="1:7" x14ac:dyDescent="0.45">
      <c r="A510">
        <v>452</v>
      </c>
      <c r="B510" s="4">
        <v>46090</v>
      </c>
      <c r="C510" t="s">
        <v>355</v>
      </c>
      <c r="D510" t="s">
        <v>85</v>
      </c>
      <c r="E510">
        <v>214.4</v>
      </c>
      <c r="G510" s="1"/>
    </row>
    <row r="511" spans="1:7" x14ac:dyDescent="0.45">
      <c r="A511">
        <v>452</v>
      </c>
      <c r="B511" s="4">
        <v>46090</v>
      </c>
      <c r="C511" t="s">
        <v>356</v>
      </c>
      <c r="D511" t="s">
        <v>85</v>
      </c>
      <c r="E511">
        <v>3000</v>
      </c>
      <c r="G511" s="1"/>
    </row>
    <row r="512" spans="1:7" x14ac:dyDescent="0.45">
      <c r="A512">
        <v>453</v>
      </c>
      <c r="B512" s="4">
        <v>46096</v>
      </c>
      <c r="C512" t="s">
        <v>357</v>
      </c>
      <c r="D512" t="s">
        <v>81</v>
      </c>
      <c r="E512">
        <v>35</v>
      </c>
      <c r="G512" s="1"/>
    </row>
    <row r="513" spans="1:7" x14ac:dyDescent="0.45">
      <c r="A513">
        <v>454</v>
      </c>
      <c r="B513" s="4">
        <v>46097</v>
      </c>
      <c r="C513" t="s">
        <v>358</v>
      </c>
      <c r="D513" t="s">
        <v>85</v>
      </c>
      <c r="E513">
        <v>110</v>
      </c>
      <c r="G513" s="1"/>
    </row>
    <row r="514" spans="1:7" x14ac:dyDescent="0.45">
      <c r="A514">
        <v>455</v>
      </c>
      <c r="B514" s="4">
        <v>46097</v>
      </c>
      <c r="C514" t="s">
        <v>359</v>
      </c>
      <c r="D514" t="s">
        <v>85</v>
      </c>
      <c r="E514">
        <v>65</v>
      </c>
      <c r="G514" s="1"/>
    </row>
    <row r="515" spans="1:7" x14ac:dyDescent="0.45">
      <c r="A515">
        <v>456</v>
      </c>
      <c r="B515" s="4">
        <v>46097</v>
      </c>
      <c r="C515" t="s">
        <v>360</v>
      </c>
      <c r="D515" t="s">
        <v>85</v>
      </c>
      <c r="E515">
        <v>76.3</v>
      </c>
      <c r="G515" s="1"/>
    </row>
    <row r="516" spans="1:7" x14ac:dyDescent="0.45">
      <c r="A516">
        <v>457</v>
      </c>
      <c r="B516" s="4">
        <v>46097</v>
      </c>
      <c r="C516" t="s">
        <v>361</v>
      </c>
      <c r="D516" t="s">
        <v>85</v>
      </c>
      <c r="E516">
        <v>49</v>
      </c>
      <c r="G516" s="1"/>
    </row>
    <row r="517" spans="1:7" x14ac:dyDescent="0.45">
      <c r="A517">
        <v>458</v>
      </c>
      <c r="B517" s="4">
        <v>46097</v>
      </c>
      <c r="C517" t="s">
        <v>362</v>
      </c>
      <c r="D517" t="s">
        <v>85</v>
      </c>
      <c r="E517">
        <v>162</v>
      </c>
      <c r="G517" s="1"/>
    </row>
    <row r="518" spans="1:7" x14ac:dyDescent="0.45">
      <c r="A518">
        <v>459</v>
      </c>
      <c r="B518" s="4">
        <v>46097</v>
      </c>
      <c r="C518" t="s">
        <v>363</v>
      </c>
      <c r="D518" t="s">
        <v>85</v>
      </c>
      <c r="E518">
        <v>124.59</v>
      </c>
      <c r="G518" s="1"/>
    </row>
    <row r="519" spans="1:7" x14ac:dyDescent="0.45">
      <c r="A519">
        <v>460</v>
      </c>
      <c r="B519" s="4">
        <v>46097</v>
      </c>
      <c r="C519" t="s">
        <v>364</v>
      </c>
      <c r="D519" t="s">
        <v>80</v>
      </c>
      <c r="E519">
        <v>47</v>
      </c>
      <c r="G519" s="1"/>
    </row>
    <row r="520" spans="1:7" x14ac:dyDescent="0.45">
      <c r="A520">
        <v>461</v>
      </c>
      <c r="B520" s="4">
        <v>46097</v>
      </c>
      <c r="C520" t="s">
        <v>346</v>
      </c>
      <c r="D520" t="s">
        <v>81</v>
      </c>
      <c r="E520">
        <v>80</v>
      </c>
      <c r="G520" s="1"/>
    </row>
    <row r="521" spans="1:7" x14ac:dyDescent="0.45">
      <c r="A521">
        <v>462</v>
      </c>
      <c r="B521" s="4">
        <v>46097</v>
      </c>
      <c r="C521" t="s">
        <v>365</v>
      </c>
      <c r="D521" t="s">
        <v>85</v>
      </c>
      <c r="E521">
        <v>135</v>
      </c>
      <c r="G521" s="1"/>
    </row>
    <row r="522" spans="1:7" x14ac:dyDescent="0.45">
      <c r="A522">
        <v>463</v>
      </c>
      <c r="B522" s="4">
        <v>46107</v>
      </c>
      <c r="C522" t="s">
        <v>366</v>
      </c>
      <c r="D522" t="s">
        <v>82</v>
      </c>
      <c r="E522">
        <v>40.6</v>
      </c>
      <c r="G522" s="1"/>
    </row>
    <row r="523" spans="1:7" x14ac:dyDescent="0.45">
      <c r="A523">
        <v>464</v>
      </c>
      <c r="B523" s="4">
        <v>46108</v>
      </c>
      <c r="C523" t="s">
        <v>367</v>
      </c>
      <c r="D523" t="s">
        <v>85</v>
      </c>
      <c r="E523">
        <v>55</v>
      </c>
      <c r="G523" s="1"/>
    </row>
    <row r="524" spans="1:7" x14ac:dyDescent="0.45">
      <c r="A524">
        <v>465</v>
      </c>
      <c r="B524" s="4">
        <v>46108</v>
      </c>
      <c r="C524" t="s">
        <v>368</v>
      </c>
      <c r="D524" t="s">
        <v>81</v>
      </c>
      <c r="E524">
        <v>280</v>
      </c>
      <c r="G524" s="1"/>
    </row>
    <row r="525" spans="1:7" x14ac:dyDescent="0.45">
      <c r="A525">
        <v>466</v>
      </c>
      <c r="B525" s="4">
        <v>46110</v>
      </c>
      <c r="C525" t="s">
        <v>369</v>
      </c>
      <c r="D525" t="s">
        <v>85</v>
      </c>
      <c r="E525">
        <v>2000</v>
      </c>
      <c r="G525" s="1"/>
    </row>
    <row r="526" spans="1:7" x14ac:dyDescent="0.45">
      <c r="A526">
        <v>467</v>
      </c>
      <c r="G526" s="1"/>
    </row>
    <row r="527" spans="1:7" x14ac:dyDescent="0.45">
      <c r="A527">
        <v>468</v>
      </c>
      <c r="B527" s="4">
        <v>46113</v>
      </c>
      <c r="C527" t="s">
        <v>93</v>
      </c>
      <c r="D527" t="s">
        <v>95</v>
      </c>
      <c r="F527">
        <f>SUM(E527:E568)</f>
        <v>16075.156999999999</v>
      </c>
      <c r="G527" s="1"/>
    </row>
    <row r="528" spans="1:7" x14ac:dyDescent="0.45">
      <c r="A528">
        <v>469</v>
      </c>
      <c r="B528" s="4">
        <v>46113</v>
      </c>
      <c r="C528" t="s">
        <v>91</v>
      </c>
      <c r="D528" t="s">
        <v>94</v>
      </c>
      <c r="G528" s="1">
        <f>280+20+250+10+280+460+460+280+240+220+280+280+280+220+280+280+450+280+280+220+250+280+300+270+280+280+220+230+280+280+280+280+230+280</f>
        <v>9090</v>
      </c>
    </row>
    <row r="529" spans="1:7" x14ac:dyDescent="0.45">
      <c r="A529">
        <v>470</v>
      </c>
      <c r="B529" s="4">
        <v>46113</v>
      </c>
      <c r="C529" s="6" t="s">
        <v>136</v>
      </c>
      <c r="D529" s="6" t="s">
        <v>84</v>
      </c>
      <c r="E529" s="6">
        <v>1500</v>
      </c>
    </row>
    <row r="530" spans="1:7" x14ac:dyDescent="0.45">
      <c r="A530">
        <v>471</v>
      </c>
      <c r="B530" s="4">
        <v>46113</v>
      </c>
      <c r="C530" t="s">
        <v>312</v>
      </c>
      <c r="D530" t="s">
        <v>82</v>
      </c>
      <c r="E530">
        <f>1359.9+40.5+162</f>
        <v>1562.4</v>
      </c>
      <c r="G530" s="1"/>
    </row>
    <row r="531" spans="1:7" x14ac:dyDescent="0.45">
      <c r="A531">
        <v>472</v>
      </c>
      <c r="B531" s="4">
        <v>46113</v>
      </c>
      <c r="C531" t="s">
        <v>5</v>
      </c>
      <c r="D531" t="s">
        <v>27</v>
      </c>
      <c r="E531">
        <v>150</v>
      </c>
      <c r="G531" s="1"/>
    </row>
    <row r="532" spans="1:7" x14ac:dyDescent="0.45">
      <c r="A532">
        <v>473</v>
      </c>
      <c r="B532" s="4">
        <v>46113</v>
      </c>
      <c r="C532" t="s">
        <v>142</v>
      </c>
      <c r="D532" t="s">
        <v>27</v>
      </c>
      <c r="E532">
        <v>70</v>
      </c>
      <c r="G532" s="1"/>
    </row>
    <row r="533" spans="1:7" x14ac:dyDescent="0.45">
      <c r="A533">
        <v>474</v>
      </c>
      <c r="B533" s="4">
        <v>46113</v>
      </c>
      <c r="C533" t="s">
        <v>255</v>
      </c>
      <c r="D533" t="s">
        <v>27</v>
      </c>
      <c r="E533">
        <f>120+100+180+160</f>
        <v>560</v>
      </c>
      <c r="G533" s="1"/>
    </row>
    <row r="534" spans="1:7" x14ac:dyDescent="0.45">
      <c r="A534">
        <v>475</v>
      </c>
      <c r="B534" s="4">
        <v>46113</v>
      </c>
      <c r="C534" t="s">
        <v>252</v>
      </c>
      <c r="D534" t="s">
        <v>83</v>
      </c>
      <c r="E534">
        <v>51.4</v>
      </c>
      <c r="G534" s="1"/>
    </row>
    <row r="535" spans="1:7" x14ac:dyDescent="0.45">
      <c r="A535">
        <v>476</v>
      </c>
      <c r="B535" s="4">
        <v>46113</v>
      </c>
      <c r="C535" t="s">
        <v>371</v>
      </c>
      <c r="D535" t="s">
        <v>81</v>
      </c>
      <c r="E535">
        <v>16</v>
      </c>
      <c r="G535" s="1"/>
    </row>
    <row r="536" spans="1:7" x14ac:dyDescent="0.45">
      <c r="A536">
        <v>477</v>
      </c>
      <c r="B536" s="4">
        <v>46113</v>
      </c>
      <c r="C536" t="s">
        <v>370</v>
      </c>
      <c r="D536" t="s">
        <v>81</v>
      </c>
      <c r="E536">
        <v>601</v>
      </c>
      <c r="G536" s="1"/>
    </row>
    <row r="537" spans="1:7" x14ac:dyDescent="0.45">
      <c r="A537">
        <v>478</v>
      </c>
      <c r="B537" s="4">
        <v>46113</v>
      </c>
      <c r="C537" t="s">
        <v>346</v>
      </c>
      <c r="D537" t="s">
        <v>81</v>
      </c>
      <c r="E537">
        <v>10</v>
      </c>
      <c r="G537" s="1"/>
    </row>
    <row r="538" spans="1:7" x14ac:dyDescent="0.45">
      <c r="A538">
        <v>479</v>
      </c>
      <c r="B538" s="4">
        <v>46113</v>
      </c>
      <c r="C538" t="s">
        <v>373</v>
      </c>
      <c r="D538" t="s">
        <v>81</v>
      </c>
      <c r="E538">
        <v>550</v>
      </c>
      <c r="G538" s="1"/>
    </row>
    <row r="539" spans="1:7" x14ac:dyDescent="0.45">
      <c r="A539">
        <v>480</v>
      </c>
      <c r="B539" s="4">
        <v>46113</v>
      </c>
      <c r="C539" t="s">
        <v>372</v>
      </c>
      <c r="D539" t="s">
        <v>85</v>
      </c>
      <c r="E539">
        <v>80</v>
      </c>
      <c r="G539" s="1"/>
    </row>
    <row r="540" spans="1:7" x14ac:dyDescent="0.45">
      <c r="A540">
        <v>481</v>
      </c>
      <c r="B540" s="4">
        <v>46113</v>
      </c>
      <c r="C540" t="s">
        <v>252</v>
      </c>
      <c r="D540" t="s">
        <v>82</v>
      </c>
      <c r="E540">
        <v>101.8</v>
      </c>
      <c r="G540" s="1"/>
    </row>
    <row r="541" spans="1:7" x14ac:dyDescent="0.45">
      <c r="A541">
        <v>482</v>
      </c>
      <c r="B541" s="4">
        <v>46113</v>
      </c>
      <c r="C541" t="s">
        <v>337</v>
      </c>
      <c r="D541" t="s">
        <v>26</v>
      </c>
      <c r="E541">
        <v>111.937</v>
      </c>
      <c r="G541" s="1"/>
    </row>
    <row r="542" spans="1:7" x14ac:dyDescent="0.45">
      <c r="A542">
        <v>483</v>
      </c>
      <c r="B542" s="4">
        <v>46113</v>
      </c>
      <c r="C542" t="s">
        <v>334</v>
      </c>
      <c r="D542" t="s">
        <v>85</v>
      </c>
      <c r="E542">
        <v>55</v>
      </c>
      <c r="G542" s="1"/>
    </row>
    <row r="543" spans="1:7" x14ac:dyDescent="0.45">
      <c r="A543">
        <v>484</v>
      </c>
      <c r="B543" s="4">
        <v>46113</v>
      </c>
      <c r="C543" t="s">
        <v>335</v>
      </c>
      <c r="D543" t="s">
        <v>85</v>
      </c>
      <c r="E543">
        <v>23.37</v>
      </c>
      <c r="G543" s="1"/>
    </row>
    <row r="544" spans="1:7" x14ac:dyDescent="0.45">
      <c r="A544">
        <v>485</v>
      </c>
      <c r="B544" s="4">
        <v>46113</v>
      </c>
      <c r="C544" t="s">
        <v>336</v>
      </c>
      <c r="D544" t="s">
        <v>85</v>
      </c>
      <c r="E544">
        <v>61.15</v>
      </c>
      <c r="G544" s="1"/>
    </row>
    <row r="545" spans="1:7" x14ac:dyDescent="0.45">
      <c r="A545">
        <v>486</v>
      </c>
      <c r="B545" s="4">
        <v>46117</v>
      </c>
      <c r="C545" t="s">
        <v>278</v>
      </c>
      <c r="D545" t="s">
        <v>81</v>
      </c>
      <c r="E545">
        <v>40</v>
      </c>
      <c r="G545" s="1"/>
    </row>
    <row r="546" spans="1:7" x14ac:dyDescent="0.45">
      <c r="A546">
        <v>487</v>
      </c>
      <c r="B546" s="4">
        <v>46117</v>
      </c>
      <c r="C546" t="s">
        <v>374</v>
      </c>
      <c r="D546" t="s">
        <v>81</v>
      </c>
      <c r="E546">
        <v>80</v>
      </c>
      <c r="G546" s="1"/>
    </row>
    <row r="547" spans="1:7" x14ac:dyDescent="0.45">
      <c r="A547">
        <v>488</v>
      </c>
      <c r="B547" s="4">
        <v>46118</v>
      </c>
      <c r="C547" t="s">
        <v>375</v>
      </c>
      <c r="D547" t="s">
        <v>80</v>
      </c>
      <c r="E547">
        <v>350</v>
      </c>
      <c r="G547" s="1"/>
    </row>
    <row r="548" spans="1:7" x14ac:dyDescent="0.45">
      <c r="A548">
        <v>489</v>
      </c>
      <c r="B548" s="4">
        <v>46118</v>
      </c>
      <c r="C548" t="s">
        <v>376</v>
      </c>
      <c r="D548" t="s">
        <v>81</v>
      </c>
      <c r="E548">
        <v>50</v>
      </c>
      <c r="G548" s="1"/>
    </row>
    <row r="549" spans="1:7" x14ac:dyDescent="0.45">
      <c r="A549">
        <v>490</v>
      </c>
      <c r="B549" s="4">
        <v>46118</v>
      </c>
      <c r="C549" t="s">
        <v>369</v>
      </c>
      <c r="D549" t="s">
        <v>85</v>
      </c>
      <c r="E549">
        <v>1370</v>
      </c>
      <c r="G549" s="1"/>
    </row>
    <row r="550" spans="1:7" x14ac:dyDescent="0.45">
      <c r="A550">
        <v>491</v>
      </c>
      <c r="B550" s="4">
        <v>46118</v>
      </c>
      <c r="C550" t="s">
        <v>377</v>
      </c>
      <c r="D550" t="s">
        <v>81</v>
      </c>
      <c r="E550">
        <v>20</v>
      </c>
      <c r="G550" s="1"/>
    </row>
    <row r="551" spans="1:7" x14ac:dyDescent="0.45">
      <c r="A551">
        <v>492</v>
      </c>
      <c r="B551" s="4">
        <v>46125</v>
      </c>
      <c r="C551" t="s">
        <v>366</v>
      </c>
      <c r="D551" t="s">
        <v>82</v>
      </c>
      <c r="E551">
        <v>80.2</v>
      </c>
      <c r="G551" s="1"/>
    </row>
    <row r="552" spans="1:7" x14ac:dyDescent="0.45">
      <c r="A552">
        <v>493</v>
      </c>
      <c r="B552" s="4">
        <v>46125</v>
      </c>
      <c r="C552" t="s">
        <v>378</v>
      </c>
      <c r="D552" t="s">
        <v>85</v>
      </c>
      <c r="E552">
        <v>80</v>
      </c>
      <c r="G552" s="1"/>
    </row>
    <row r="553" spans="1:7" x14ac:dyDescent="0.45">
      <c r="A553">
        <v>494</v>
      </c>
      <c r="B553" s="4">
        <v>46126</v>
      </c>
      <c r="C553" t="s">
        <v>368</v>
      </c>
      <c r="D553" t="s">
        <v>81</v>
      </c>
      <c r="E553">
        <v>143</v>
      </c>
      <c r="G553" s="1"/>
    </row>
    <row r="554" spans="1:7" x14ac:dyDescent="0.45">
      <c r="A554">
        <v>495</v>
      </c>
      <c r="B554" s="4">
        <v>46127</v>
      </c>
      <c r="C554" t="s">
        <v>474</v>
      </c>
      <c r="D554" t="s">
        <v>81</v>
      </c>
      <c r="E554">
        <v>30</v>
      </c>
      <c r="G554" s="1"/>
    </row>
    <row r="555" spans="1:7" x14ac:dyDescent="0.45">
      <c r="A555">
        <v>496</v>
      </c>
      <c r="B555" s="4">
        <v>46127</v>
      </c>
      <c r="C555" t="s">
        <v>475</v>
      </c>
      <c r="D555" t="s">
        <v>85</v>
      </c>
      <c r="E555">
        <v>30.1</v>
      </c>
      <c r="G555" s="1"/>
    </row>
    <row r="556" spans="1:7" x14ac:dyDescent="0.45">
      <c r="A556">
        <v>497</v>
      </c>
      <c r="B556" s="4">
        <v>46128</v>
      </c>
      <c r="C556" t="s">
        <v>476</v>
      </c>
      <c r="D556" t="s">
        <v>85</v>
      </c>
      <c r="E556">
        <v>160</v>
      </c>
      <c r="G556" s="1"/>
    </row>
    <row r="557" spans="1:7" x14ac:dyDescent="0.45">
      <c r="A557">
        <v>498</v>
      </c>
      <c r="B557" s="4">
        <v>46128</v>
      </c>
      <c r="C557" t="s">
        <v>378</v>
      </c>
      <c r="D557" t="s">
        <v>85</v>
      </c>
      <c r="E557">
        <v>40</v>
      </c>
      <c r="G557" s="1"/>
    </row>
    <row r="558" spans="1:7" x14ac:dyDescent="0.45">
      <c r="A558">
        <v>499</v>
      </c>
      <c r="B558" s="4">
        <v>46128</v>
      </c>
      <c r="C558" t="s">
        <v>477</v>
      </c>
      <c r="D558" t="s">
        <v>85</v>
      </c>
      <c r="E558">
        <v>142.9</v>
      </c>
      <c r="G558" s="1"/>
    </row>
    <row r="559" spans="1:7" x14ac:dyDescent="0.45">
      <c r="A559">
        <v>500</v>
      </c>
      <c r="B559" s="4">
        <v>46132</v>
      </c>
      <c r="C559" t="s">
        <v>478</v>
      </c>
      <c r="D559" t="s">
        <v>85</v>
      </c>
      <c r="E559">
        <v>1400</v>
      </c>
      <c r="G559" s="1"/>
    </row>
    <row r="560" spans="1:7" x14ac:dyDescent="0.45">
      <c r="A560">
        <v>501</v>
      </c>
      <c r="B560" s="4">
        <v>46132</v>
      </c>
      <c r="C560" t="s">
        <v>479</v>
      </c>
      <c r="D560" t="s">
        <v>85</v>
      </c>
      <c r="E560">
        <v>40</v>
      </c>
      <c r="G560" s="1"/>
    </row>
    <row r="561" spans="1:7" x14ac:dyDescent="0.45">
      <c r="A561">
        <v>502</v>
      </c>
      <c r="B561" s="4">
        <v>46132</v>
      </c>
      <c r="C561" t="s">
        <v>480</v>
      </c>
      <c r="D561" t="s">
        <v>87</v>
      </c>
      <c r="E561">
        <v>77.5</v>
      </c>
      <c r="G561" s="1"/>
    </row>
    <row r="562" spans="1:7" x14ac:dyDescent="0.45">
      <c r="A562">
        <v>503</v>
      </c>
      <c r="B562" s="4">
        <v>46132</v>
      </c>
      <c r="C562" t="s">
        <v>481</v>
      </c>
      <c r="D562" t="s">
        <v>85</v>
      </c>
      <c r="E562">
        <v>2960</v>
      </c>
      <c r="G562" s="1"/>
    </row>
    <row r="563" spans="1:7" x14ac:dyDescent="0.45">
      <c r="A563">
        <v>504</v>
      </c>
      <c r="B563" s="4">
        <v>46141</v>
      </c>
      <c r="C563" t="s">
        <v>659</v>
      </c>
      <c r="D563" t="s">
        <v>81</v>
      </c>
      <c r="E563">
        <v>265</v>
      </c>
      <c r="G563" s="1"/>
    </row>
    <row r="564" spans="1:7" x14ac:dyDescent="0.45">
      <c r="A564">
        <v>505</v>
      </c>
      <c r="B564" s="4">
        <v>46143</v>
      </c>
      <c r="C564" t="s">
        <v>93</v>
      </c>
      <c r="D564" t="s">
        <v>95</v>
      </c>
      <c r="F564">
        <f>SUM(E564:E605)</f>
        <v>3922.6</v>
      </c>
      <c r="G564" s="1"/>
    </row>
    <row r="565" spans="1:7" x14ac:dyDescent="0.45">
      <c r="A565">
        <v>506</v>
      </c>
      <c r="B565" s="4">
        <v>46143</v>
      </c>
      <c r="C565" t="s">
        <v>91</v>
      </c>
      <c r="D565" t="s">
        <v>94</v>
      </c>
      <c r="G565" s="1"/>
    </row>
    <row r="566" spans="1:7" x14ac:dyDescent="0.45">
      <c r="A566">
        <v>507</v>
      </c>
      <c r="B566" s="4">
        <v>46143</v>
      </c>
      <c r="C566" s="6" t="s">
        <v>136</v>
      </c>
      <c r="D566" s="6" t="s">
        <v>84</v>
      </c>
      <c r="E566" s="6">
        <v>1500</v>
      </c>
    </row>
    <row r="567" spans="1:7" x14ac:dyDescent="0.45">
      <c r="A567">
        <v>508</v>
      </c>
      <c r="B567" s="4">
        <v>46143</v>
      </c>
      <c r="C567" t="s">
        <v>660</v>
      </c>
      <c r="D567" t="s">
        <v>82</v>
      </c>
      <c r="E567">
        <f>1359.9+40.5+162</f>
        <v>1562.4</v>
      </c>
      <c r="G567" s="1"/>
    </row>
    <row r="568" spans="1:7" x14ac:dyDescent="0.45">
      <c r="A568">
        <v>472</v>
      </c>
      <c r="B568" s="4">
        <v>46143</v>
      </c>
      <c r="C568" t="s">
        <v>5</v>
      </c>
      <c r="D568" t="s">
        <v>27</v>
      </c>
      <c r="E568">
        <v>150</v>
      </c>
      <c r="G568" s="1"/>
    </row>
    <row r="569" spans="1:7" x14ac:dyDescent="0.45">
      <c r="A569">
        <v>473</v>
      </c>
      <c r="B569" s="4">
        <v>46143</v>
      </c>
      <c r="C569" t="s">
        <v>142</v>
      </c>
      <c r="D569" t="s">
        <v>27</v>
      </c>
      <c r="E569">
        <v>70</v>
      </c>
      <c r="G569" s="1"/>
    </row>
    <row r="570" spans="1:7" x14ac:dyDescent="0.45">
      <c r="A570">
        <v>474</v>
      </c>
      <c r="B570" s="4">
        <v>46143</v>
      </c>
      <c r="C570" t="s">
        <v>255</v>
      </c>
      <c r="D570" t="s">
        <v>27</v>
      </c>
      <c r="E570">
        <f>120+100+180+160</f>
        <v>560</v>
      </c>
      <c r="G570" s="1"/>
    </row>
    <row r="571" spans="1:7" x14ac:dyDescent="0.45">
      <c r="B571" s="4">
        <v>46144</v>
      </c>
      <c r="C571" t="s">
        <v>252</v>
      </c>
      <c r="D571" t="s">
        <v>82</v>
      </c>
      <c r="E571">
        <v>80.2</v>
      </c>
      <c r="G571" s="1"/>
    </row>
    <row r="572" spans="1:7" x14ac:dyDescent="0.45">
      <c r="G572" s="1"/>
    </row>
    <row r="573" spans="1:7" x14ac:dyDescent="0.45">
      <c r="G573" s="1"/>
    </row>
    <row r="574" spans="1:7" x14ac:dyDescent="0.45">
      <c r="G574" s="1"/>
    </row>
    <row r="575" spans="1:7" x14ac:dyDescent="0.45">
      <c r="G575" s="1"/>
    </row>
    <row r="576" spans="1:7" x14ac:dyDescent="0.45">
      <c r="G576" s="1"/>
    </row>
    <row r="577" spans="7:7" x14ac:dyDescent="0.45">
      <c r="G577" s="1"/>
    </row>
    <row r="578" spans="7:7" x14ac:dyDescent="0.45">
      <c r="G578" s="1"/>
    </row>
    <row r="579" spans="7:7" x14ac:dyDescent="0.45">
      <c r="G579" s="1"/>
    </row>
    <row r="580" spans="7:7" x14ac:dyDescent="0.45">
      <c r="G580" s="1"/>
    </row>
    <row r="581" spans="7:7" x14ac:dyDescent="0.45">
      <c r="G581" s="1"/>
    </row>
    <row r="582" spans="7:7" x14ac:dyDescent="0.45">
      <c r="G582" s="1"/>
    </row>
    <row r="583" spans="7:7" x14ac:dyDescent="0.45">
      <c r="G583" s="1"/>
    </row>
    <row r="584" spans="7:7" x14ac:dyDescent="0.45">
      <c r="G584" s="1"/>
    </row>
    <row r="585" spans="7:7" x14ac:dyDescent="0.45">
      <c r="G585" s="1"/>
    </row>
    <row r="586" spans="7:7" x14ac:dyDescent="0.45">
      <c r="G586" s="1"/>
    </row>
    <row r="587" spans="7:7" x14ac:dyDescent="0.45">
      <c r="G587" s="1"/>
    </row>
    <row r="588" spans="7:7" x14ac:dyDescent="0.45">
      <c r="G588" s="1"/>
    </row>
    <row r="589" spans="7:7" x14ac:dyDescent="0.45">
      <c r="G589" s="1"/>
    </row>
    <row r="590" spans="7:7" x14ac:dyDescent="0.45">
      <c r="G590" s="1"/>
    </row>
    <row r="591" spans="7:7" x14ac:dyDescent="0.45">
      <c r="G591" s="1"/>
    </row>
    <row r="592" spans="7:7" x14ac:dyDescent="0.45">
      <c r="G592" s="1"/>
    </row>
    <row r="593" spans="7:7" x14ac:dyDescent="0.45">
      <c r="G593" s="1"/>
    </row>
    <row r="594" spans="7:7" x14ac:dyDescent="0.45">
      <c r="G594" s="1"/>
    </row>
    <row r="595" spans="7:7" x14ac:dyDescent="0.45">
      <c r="G595" s="1"/>
    </row>
    <row r="596" spans="7:7" x14ac:dyDescent="0.45">
      <c r="G596" s="1"/>
    </row>
    <row r="597" spans="7:7" x14ac:dyDescent="0.45">
      <c r="G597" s="1"/>
    </row>
    <row r="598" spans="7:7" x14ac:dyDescent="0.45">
      <c r="G598" s="1"/>
    </row>
    <row r="599" spans="7:7" x14ac:dyDescent="0.45">
      <c r="G599" s="1"/>
    </row>
    <row r="600" spans="7:7" x14ac:dyDescent="0.45">
      <c r="G600" s="1"/>
    </row>
    <row r="601" spans="7:7" x14ac:dyDescent="0.45">
      <c r="G601" s="1"/>
    </row>
    <row r="602" spans="7:7" x14ac:dyDescent="0.45">
      <c r="G602" s="1"/>
    </row>
    <row r="603" spans="7:7" x14ac:dyDescent="0.45">
      <c r="G603" s="1"/>
    </row>
    <row r="604" spans="7:7" x14ac:dyDescent="0.45">
      <c r="G604" s="1"/>
    </row>
    <row r="605" spans="7:7" x14ac:dyDescent="0.45">
      <c r="G605" s="1"/>
    </row>
    <row r="606" spans="7:7" x14ac:dyDescent="0.45">
      <c r="G606" s="1"/>
    </row>
    <row r="607" spans="7:7" x14ac:dyDescent="0.45">
      <c r="G607" s="1"/>
    </row>
    <row r="608" spans="7:7" x14ac:dyDescent="0.45">
      <c r="G608" s="1"/>
    </row>
    <row r="609" spans="7:7" x14ac:dyDescent="0.45">
      <c r="G609" s="1"/>
    </row>
    <row r="610" spans="7:7" x14ac:dyDescent="0.45">
      <c r="G610" s="1"/>
    </row>
    <row r="611" spans="7:7" x14ac:dyDescent="0.45">
      <c r="G611" s="1"/>
    </row>
    <row r="612" spans="7:7" x14ac:dyDescent="0.45">
      <c r="G612" s="1"/>
    </row>
    <row r="613" spans="7:7" x14ac:dyDescent="0.45">
      <c r="G613" s="1"/>
    </row>
    <row r="614" spans="7:7" x14ac:dyDescent="0.45">
      <c r="G614" s="1"/>
    </row>
    <row r="615" spans="7:7" x14ac:dyDescent="0.45">
      <c r="G615" s="1"/>
    </row>
    <row r="616" spans="7:7" x14ac:dyDescent="0.45">
      <c r="G616" s="1"/>
    </row>
    <row r="617" spans="7:7" x14ac:dyDescent="0.45">
      <c r="G617" s="1"/>
    </row>
    <row r="618" spans="7:7" x14ac:dyDescent="0.45">
      <c r="G618" s="1"/>
    </row>
    <row r="619" spans="7:7" x14ac:dyDescent="0.45">
      <c r="G619" s="1"/>
    </row>
    <row r="620" spans="7:7" x14ac:dyDescent="0.45">
      <c r="G620" s="1"/>
    </row>
    <row r="621" spans="7:7" x14ac:dyDescent="0.45">
      <c r="G621" s="1"/>
    </row>
    <row r="622" spans="7:7" x14ac:dyDescent="0.45">
      <c r="G622" s="1"/>
    </row>
    <row r="623" spans="7:7" x14ac:dyDescent="0.45">
      <c r="G623" s="1"/>
    </row>
    <row r="624" spans="7:7" x14ac:dyDescent="0.45">
      <c r="G624" s="1"/>
    </row>
    <row r="625" spans="7:7" x14ac:dyDescent="0.45">
      <c r="G625" s="1"/>
    </row>
    <row r="626" spans="7:7" x14ac:dyDescent="0.45">
      <c r="G626" s="1"/>
    </row>
    <row r="627" spans="7:7" x14ac:dyDescent="0.45">
      <c r="G627" s="1"/>
    </row>
    <row r="628" spans="7:7" x14ac:dyDescent="0.45">
      <c r="G628" s="1"/>
    </row>
    <row r="629" spans="7:7" x14ac:dyDescent="0.45">
      <c r="G629" s="1"/>
    </row>
    <row r="630" spans="7:7" x14ac:dyDescent="0.45">
      <c r="G630" s="1"/>
    </row>
  </sheetData>
  <phoneticPr fontId="1" type="noConversion"/>
  <dataValidations disablePrompts="1" count="3">
    <dataValidation type="list" allowBlank="1" showInputMessage="1" showErrorMessage="1" sqref="D126:D127 D2:D109 D112:D124" xr:uid="{00000000-0002-0000-0000-000000000000}">
      <formula1>"Utilities,Salary,General Expenses,Repair &amp; Maintnance,Municipality fee, Garbage Disposal,Private expenses,Commission fee,business manager fee"</formula1>
    </dataValidation>
    <dataValidation type="list" allowBlank="1" showInputMessage="1" showErrorMessage="1" sqref="D128 D111" xr:uid="{00000000-0002-0000-0000-000001000000}">
      <formula1>"Utilities,Salary,General Expenses,Repair &amp; Maintnance,Municipality fee, Garbage Disposal,Private expenses,Commission fee,business manager fee,paid by owner to MPIRE"</formula1>
    </dataValidation>
    <dataValidation type="list" allowBlank="1" showInputMessage="1" showErrorMessage="1" sqref="D125 D110" xr:uid="{00000000-0002-0000-0000-000002000000}">
      <formula1>"Utilities,Salary,General Expenses,Repair &amp; Maintnance,Municipality fee, Garbage Disposal,Private expenses,Commission fee,business manager fee,pending amount to MPIRE"</formula1>
    </dataValidation>
  </dataValidations>
  <printOptions horizontalCentered="1" verticalCentered="1"/>
  <pageMargins left="0.7" right="0.7" top="0.75" bottom="0.75" header="0.3" footer="0.3"/>
  <pageSetup scale="10"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37C92-A9AE-43E6-A855-85A2C393B549}">
  <dimension ref="A1:G189"/>
  <sheetViews>
    <sheetView topLeftCell="A162" workbookViewId="0">
      <selection activeCell="B169" sqref="B169"/>
    </sheetView>
  </sheetViews>
  <sheetFormatPr defaultRowHeight="14.25" x14ac:dyDescent="0.45"/>
  <cols>
    <col min="1" max="1" width="5.33203125" customWidth="1"/>
    <col min="2" max="2" width="49.796875" customWidth="1"/>
    <col min="3" max="3" width="19.53125" customWidth="1"/>
    <col min="4" max="4" width="42.6640625" customWidth="1"/>
    <col min="5" max="5" width="56.86328125" customWidth="1"/>
    <col min="6" max="6" width="12.46484375" customWidth="1"/>
    <col min="7" max="7" width="16.86328125" customWidth="1"/>
  </cols>
  <sheetData>
    <row r="1" spans="1:7" ht="18" x14ac:dyDescent="0.55000000000000004">
      <c r="A1" s="7" t="s">
        <v>379</v>
      </c>
    </row>
    <row r="2" spans="1:7" x14ac:dyDescent="0.45">
      <c r="A2" s="8" t="s">
        <v>482</v>
      </c>
    </row>
    <row r="4" spans="1:7" x14ac:dyDescent="0.45">
      <c r="A4" s="9" t="s">
        <v>380</v>
      </c>
      <c r="B4" s="10"/>
      <c r="C4" s="10"/>
      <c r="D4" s="10"/>
      <c r="E4" s="10"/>
      <c r="F4" s="10"/>
      <c r="G4" s="10"/>
    </row>
    <row r="5" spans="1:7" x14ac:dyDescent="0.45">
      <c r="A5" s="21" t="s">
        <v>381</v>
      </c>
      <c r="B5" s="20" t="s">
        <v>382</v>
      </c>
      <c r="C5" s="22" t="s">
        <v>383</v>
      </c>
      <c r="D5" s="20" t="s">
        <v>384</v>
      </c>
      <c r="E5" s="22" t="s">
        <v>385</v>
      </c>
      <c r="F5" s="22" t="s">
        <v>386</v>
      </c>
      <c r="G5" s="21" t="s">
        <v>387</v>
      </c>
    </row>
    <row r="6" spans="1:7" x14ac:dyDescent="0.45">
      <c r="A6" s="23">
        <v>1</v>
      </c>
      <c r="B6" t="s">
        <v>136</v>
      </c>
      <c r="C6" s="24">
        <v>1500</v>
      </c>
      <c r="D6" t="s">
        <v>388</v>
      </c>
      <c r="E6" s="24">
        <v>1500</v>
      </c>
      <c r="F6" s="24">
        <f t="shared" ref="F6:F17" si="0">C6-E6</f>
        <v>0</v>
      </c>
      <c r="G6" s="25" t="s">
        <v>389</v>
      </c>
    </row>
    <row r="7" spans="1:7" x14ac:dyDescent="0.45">
      <c r="A7" s="23">
        <v>2</v>
      </c>
      <c r="B7" t="s">
        <v>390</v>
      </c>
      <c r="C7" s="24">
        <v>51.4</v>
      </c>
      <c r="D7" t="s">
        <v>391</v>
      </c>
      <c r="E7" s="24">
        <v>51.4</v>
      </c>
      <c r="F7" s="24">
        <f t="shared" si="0"/>
        <v>0</v>
      </c>
      <c r="G7" s="25" t="s">
        <v>389</v>
      </c>
    </row>
    <row r="8" spans="1:7" x14ac:dyDescent="0.45">
      <c r="A8" s="23">
        <v>3</v>
      </c>
      <c r="B8" t="s">
        <v>337</v>
      </c>
      <c r="C8" s="24">
        <v>111.937</v>
      </c>
      <c r="D8" t="s">
        <v>392</v>
      </c>
      <c r="E8" s="24">
        <v>111.937</v>
      </c>
      <c r="F8" s="24">
        <f t="shared" si="0"/>
        <v>0</v>
      </c>
      <c r="G8" s="25" t="s">
        <v>389</v>
      </c>
    </row>
    <row r="9" spans="1:7" x14ac:dyDescent="0.45">
      <c r="A9" s="23">
        <v>4</v>
      </c>
      <c r="B9" t="s">
        <v>5</v>
      </c>
      <c r="C9" s="24">
        <v>150</v>
      </c>
      <c r="D9" t="s">
        <v>393</v>
      </c>
      <c r="E9" s="24">
        <v>150</v>
      </c>
      <c r="F9" s="24">
        <f t="shared" si="0"/>
        <v>0</v>
      </c>
      <c r="G9" s="25" t="s">
        <v>389</v>
      </c>
    </row>
    <row r="10" spans="1:7" x14ac:dyDescent="0.45">
      <c r="A10" s="23">
        <v>5</v>
      </c>
      <c r="B10" t="s">
        <v>394</v>
      </c>
      <c r="C10" s="24">
        <v>601</v>
      </c>
      <c r="D10" t="s">
        <v>395</v>
      </c>
      <c r="E10" s="24">
        <v>601</v>
      </c>
      <c r="F10" s="24">
        <f t="shared" si="0"/>
        <v>0</v>
      </c>
      <c r="G10" s="25" t="s">
        <v>389</v>
      </c>
    </row>
    <row r="11" spans="1:7" x14ac:dyDescent="0.45">
      <c r="A11" s="23">
        <v>6</v>
      </c>
      <c r="B11" t="s">
        <v>396</v>
      </c>
      <c r="C11" s="24">
        <v>80.2</v>
      </c>
      <c r="D11" t="s">
        <v>397</v>
      </c>
      <c r="E11" s="24">
        <v>80.2</v>
      </c>
      <c r="F11" s="24">
        <f t="shared" si="0"/>
        <v>0</v>
      </c>
      <c r="G11" s="25" t="s">
        <v>389</v>
      </c>
    </row>
    <row r="12" spans="1:7" x14ac:dyDescent="0.45">
      <c r="A12" s="23">
        <v>7</v>
      </c>
      <c r="B12" t="s">
        <v>398</v>
      </c>
      <c r="C12" s="24">
        <v>139.52000000000001</v>
      </c>
      <c r="D12" t="s">
        <v>399</v>
      </c>
      <c r="E12" s="24">
        <v>139.52000000000001</v>
      </c>
      <c r="F12" s="24">
        <f t="shared" si="0"/>
        <v>0</v>
      </c>
      <c r="G12" s="25" t="s">
        <v>389</v>
      </c>
    </row>
    <row r="13" spans="1:7" x14ac:dyDescent="0.45">
      <c r="A13" s="23">
        <v>8</v>
      </c>
      <c r="B13" t="s">
        <v>483</v>
      </c>
      <c r="C13" s="24">
        <v>30.1</v>
      </c>
      <c r="D13" t="s">
        <v>484</v>
      </c>
      <c r="E13" s="24">
        <v>30.1</v>
      </c>
      <c r="F13" s="24">
        <f t="shared" si="0"/>
        <v>0</v>
      </c>
      <c r="G13" s="25" t="s">
        <v>389</v>
      </c>
    </row>
    <row r="14" spans="1:7" x14ac:dyDescent="0.45">
      <c r="A14" s="23">
        <v>9</v>
      </c>
      <c r="B14" t="s">
        <v>485</v>
      </c>
      <c r="C14" s="24">
        <v>160</v>
      </c>
      <c r="D14" t="s">
        <v>486</v>
      </c>
      <c r="E14" s="24">
        <v>160</v>
      </c>
      <c r="F14" s="24">
        <f t="shared" si="0"/>
        <v>0</v>
      </c>
      <c r="G14" s="26" t="s">
        <v>487</v>
      </c>
    </row>
    <row r="15" spans="1:7" x14ac:dyDescent="0.45">
      <c r="A15" s="23">
        <v>10</v>
      </c>
      <c r="B15" t="s">
        <v>488</v>
      </c>
      <c r="C15" s="24">
        <v>142.9</v>
      </c>
      <c r="D15" t="s">
        <v>489</v>
      </c>
      <c r="E15" s="24">
        <v>142.9</v>
      </c>
      <c r="F15" s="24">
        <f t="shared" si="0"/>
        <v>0</v>
      </c>
      <c r="G15" s="25" t="s">
        <v>389</v>
      </c>
    </row>
    <row r="16" spans="1:7" x14ac:dyDescent="0.45">
      <c r="A16" s="23">
        <v>11</v>
      </c>
      <c r="B16" t="s">
        <v>159</v>
      </c>
      <c r="C16" s="24">
        <v>77.5</v>
      </c>
      <c r="D16" t="s">
        <v>490</v>
      </c>
      <c r="E16" s="24">
        <v>77.5</v>
      </c>
      <c r="F16" s="24">
        <f t="shared" si="0"/>
        <v>0</v>
      </c>
      <c r="G16" s="25" t="s">
        <v>389</v>
      </c>
    </row>
    <row r="17" spans="1:7" x14ac:dyDescent="0.45">
      <c r="B17" s="27" t="s">
        <v>400</v>
      </c>
      <c r="C17" s="28">
        <f>SUM(C6:C16)</f>
        <v>3044.5569999999998</v>
      </c>
      <c r="E17" s="28">
        <f>SUM(E6:E16)</f>
        <v>3044.5569999999998</v>
      </c>
      <c r="F17" s="28">
        <f t="shared" si="0"/>
        <v>0</v>
      </c>
    </row>
    <row r="19" spans="1:7" x14ac:dyDescent="0.45">
      <c r="A19" s="11" t="s">
        <v>401</v>
      </c>
      <c r="B19" s="12"/>
      <c r="C19" s="12"/>
      <c r="D19" s="12"/>
      <c r="E19" s="12"/>
      <c r="F19" s="12"/>
      <c r="G19" s="12"/>
    </row>
    <row r="20" spans="1:7" x14ac:dyDescent="0.45">
      <c r="A20" s="30" t="s">
        <v>381</v>
      </c>
      <c r="B20" s="29" t="s">
        <v>382</v>
      </c>
      <c r="C20" s="31" t="s">
        <v>383</v>
      </c>
      <c r="D20" s="29" t="s">
        <v>79</v>
      </c>
      <c r="E20" s="29" t="s">
        <v>402</v>
      </c>
      <c r="F20" s="32"/>
      <c r="G20" s="30" t="s">
        <v>387</v>
      </c>
    </row>
    <row r="21" spans="1:7" x14ac:dyDescent="0.45">
      <c r="A21" s="23">
        <v>1</v>
      </c>
      <c r="B21" t="s">
        <v>312</v>
      </c>
      <c r="C21" s="24">
        <v>1562.4</v>
      </c>
      <c r="D21" t="s">
        <v>82</v>
      </c>
      <c r="E21" t="s">
        <v>403</v>
      </c>
      <c r="G21" s="33" t="s">
        <v>404</v>
      </c>
    </row>
    <row r="22" spans="1:7" x14ac:dyDescent="0.45">
      <c r="A22" s="23">
        <v>2</v>
      </c>
      <c r="B22" t="s">
        <v>142</v>
      </c>
      <c r="C22" s="24">
        <v>70</v>
      </c>
      <c r="D22" t="s">
        <v>27</v>
      </c>
      <c r="E22" t="s">
        <v>405</v>
      </c>
      <c r="G22" s="33" t="s">
        <v>404</v>
      </c>
    </row>
    <row r="23" spans="1:7" x14ac:dyDescent="0.45">
      <c r="A23" s="23">
        <v>3</v>
      </c>
      <c r="B23" t="s">
        <v>255</v>
      </c>
      <c r="C23" s="24">
        <v>560</v>
      </c>
      <c r="D23" t="s">
        <v>27</v>
      </c>
      <c r="E23" t="s">
        <v>491</v>
      </c>
      <c r="G23" s="33" t="s">
        <v>406</v>
      </c>
    </row>
    <row r="24" spans="1:7" x14ac:dyDescent="0.45">
      <c r="A24" s="23">
        <v>4</v>
      </c>
      <c r="B24" t="s">
        <v>407</v>
      </c>
      <c r="C24" s="24">
        <v>101.8</v>
      </c>
      <c r="D24" t="s">
        <v>82</v>
      </c>
      <c r="E24" t="s">
        <v>408</v>
      </c>
      <c r="G24" s="33" t="s">
        <v>404</v>
      </c>
    </row>
    <row r="25" spans="1:7" x14ac:dyDescent="0.45">
      <c r="A25" s="23">
        <v>5</v>
      </c>
      <c r="B25" t="s">
        <v>371</v>
      </c>
      <c r="C25" s="24">
        <v>16</v>
      </c>
      <c r="D25" t="s">
        <v>409</v>
      </c>
      <c r="E25" t="s">
        <v>410</v>
      </c>
      <c r="G25" s="26" t="s">
        <v>411</v>
      </c>
    </row>
    <row r="26" spans="1:7" x14ac:dyDescent="0.45">
      <c r="A26" s="23">
        <v>6</v>
      </c>
      <c r="B26" t="s">
        <v>412</v>
      </c>
      <c r="C26" s="24">
        <v>10</v>
      </c>
      <c r="D26" t="s">
        <v>409</v>
      </c>
      <c r="E26" t="s">
        <v>410</v>
      </c>
      <c r="G26" s="26" t="s">
        <v>411</v>
      </c>
    </row>
    <row r="27" spans="1:7" x14ac:dyDescent="0.45">
      <c r="A27" s="23">
        <v>7</v>
      </c>
      <c r="B27" t="s">
        <v>413</v>
      </c>
      <c r="C27" s="24">
        <v>550</v>
      </c>
      <c r="D27" t="s">
        <v>409</v>
      </c>
      <c r="E27" t="s">
        <v>414</v>
      </c>
      <c r="G27" s="33" t="s">
        <v>404</v>
      </c>
    </row>
    <row r="28" spans="1:7" x14ac:dyDescent="0.45">
      <c r="A28" s="23">
        <v>8</v>
      </c>
      <c r="B28" t="s">
        <v>372</v>
      </c>
      <c r="C28" s="24">
        <v>80</v>
      </c>
      <c r="D28" t="s">
        <v>85</v>
      </c>
      <c r="E28" t="s">
        <v>410</v>
      </c>
      <c r="G28" s="26" t="s">
        <v>411</v>
      </c>
    </row>
    <row r="29" spans="1:7" x14ac:dyDescent="0.45">
      <c r="A29" s="23">
        <v>9</v>
      </c>
      <c r="B29" t="s">
        <v>415</v>
      </c>
      <c r="C29" s="24">
        <v>40</v>
      </c>
      <c r="D29" t="s">
        <v>409</v>
      </c>
      <c r="E29" t="s">
        <v>410</v>
      </c>
      <c r="G29" s="26" t="s">
        <v>411</v>
      </c>
    </row>
    <row r="30" spans="1:7" x14ac:dyDescent="0.45">
      <c r="A30" s="23">
        <v>10</v>
      </c>
      <c r="B30" t="s">
        <v>374</v>
      </c>
      <c r="C30" s="24">
        <v>80</v>
      </c>
      <c r="D30" t="s">
        <v>409</v>
      </c>
      <c r="E30" t="s">
        <v>410</v>
      </c>
      <c r="G30" s="26" t="s">
        <v>411</v>
      </c>
    </row>
    <row r="31" spans="1:7" x14ac:dyDescent="0.45">
      <c r="A31" s="23">
        <v>11</v>
      </c>
      <c r="B31" t="s">
        <v>416</v>
      </c>
      <c r="C31" s="24">
        <v>350</v>
      </c>
      <c r="D31" t="s">
        <v>80</v>
      </c>
      <c r="E31" t="s">
        <v>414</v>
      </c>
      <c r="G31" s="33" t="s">
        <v>404</v>
      </c>
    </row>
    <row r="32" spans="1:7" x14ac:dyDescent="0.45">
      <c r="A32" s="23">
        <v>12</v>
      </c>
      <c r="B32" t="s">
        <v>417</v>
      </c>
      <c r="C32" s="24">
        <v>50</v>
      </c>
      <c r="D32" t="s">
        <v>409</v>
      </c>
      <c r="E32" t="s">
        <v>410</v>
      </c>
      <c r="G32" s="26" t="s">
        <v>411</v>
      </c>
    </row>
    <row r="33" spans="1:7" x14ac:dyDescent="0.45">
      <c r="A33" s="23">
        <v>13</v>
      </c>
      <c r="B33" t="s">
        <v>492</v>
      </c>
      <c r="C33" s="24">
        <v>1370</v>
      </c>
      <c r="D33" t="s">
        <v>85</v>
      </c>
      <c r="E33" t="s">
        <v>419</v>
      </c>
      <c r="G33" s="33" t="s">
        <v>404</v>
      </c>
    </row>
    <row r="34" spans="1:7" x14ac:dyDescent="0.45">
      <c r="A34" s="23">
        <v>14</v>
      </c>
      <c r="B34" t="s">
        <v>420</v>
      </c>
      <c r="C34" s="24">
        <v>20</v>
      </c>
      <c r="D34" t="s">
        <v>409</v>
      </c>
      <c r="E34" t="s">
        <v>410</v>
      </c>
      <c r="G34" s="26" t="s">
        <v>411</v>
      </c>
    </row>
    <row r="35" spans="1:7" x14ac:dyDescent="0.45">
      <c r="A35" s="23">
        <v>15</v>
      </c>
      <c r="B35" t="s">
        <v>493</v>
      </c>
      <c r="C35" s="24">
        <v>120</v>
      </c>
      <c r="D35" t="s">
        <v>85</v>
      </c>
      <c r="E35" t="s">
        <v>410</v>
      </c>
      <c r="G35" s="26" t="s">
        <v>411</v>
      </c>
    </row>
    <row r="36" spans="1:7" x14ac:dyDescent="0.45">
      <c r="A36" s="23">
        <v>16</v>
      </c>
      <c r="B36" t="s">
        <v>494</v>
      </c>
      <c r="C36" s="24">
        <v>143</v>
      </c>
      <c r="D36" t="s">
        <v>409</v>
      </c>
      <c r="E36" t="s">
        <v>495</v>
      </c>
      <c r="G36" s="33" t="s">
        <v>404</v>
      </c>
    </row>
    <row r="37" spans="1:7" x14ac:dyDescent="0.45">
      <c r="A37" s="23">
        <v>17</v>
      </c>
      <c r="B37" t="s">
        <v>496</v>
      </c>
      <c r="C37" s="24">
        <v>30</v>
      </c>
      <c r="D37" t="s">
        <v>409</v>
      </c>
      <c r="E37" t="s">
        <v>410</v>
      </c>
      <c r="G37" s="26" t="s">
        <v>411</v>
      </c>
    </row>
    <row r="38" spans="1:7" x14ac:dyDescent="0.45">
      <c r="A38" s="23">
        <v>18</v>
      </c>
      <c r="B38" t="s">
        <v>497</v>
      </c>
      <c r="C38" s="24">
        <v>1400</v>
      </c>
      <c r="D38" t="s">
        <v>85</v>
      </c>
      <c r="E38" t="s">
        <v>498</v>
      </c>
      <c r="G38" s="33" t="s">
        <v>404</v>
      </c>
    </row>
    <row r="39" spans="1:7" x14ac:dyDescent="0.45">
      <c r="A39" s="23">
        <v>19</v>
      </c>
      <c r="B39" t="s">
        <v>499</v>
      </c>
      <c r="C39" s="24">
        <v>40</v>
      </c>
      <c r="D39" t="s">
        <v>85</v>
      </c>
      <c r="E39" t="s">
        <v>410</v>
      </c>
      <c r="G39" s="26" t="s">
        <v>411</v>
      </c>
    </row>
    <row r="40" spans="1:7" x14ac:dyDescent="0.45">
      <c r="A40" s="23">
        <v>20</v>
      </c>
      <c r="B40" t="s">
        <v>500</v>
      </c>
      <c r="C40" s="24">
        <v>2960</v>
      </c>
      <c r="D40" t="s">
        <v>85</v>
      </c>
      <c r="E40" t="s">
        <v>501</v>
      </c>
      <c r="G40" s="33" t="s">
        <v>404</v>
      </c>
    </row>
    <row r="41" spans="1:7" x14ac:dyDescent="0.45">
      <c r="B41" s="27" t="s">
        <v>422</v>
      </c>
      <c r="C41" s="28">
        <f>SUM(C21:C40)</f>
        <v>9553.2000000000007</v>
      </c>
    </row>
    <row r="43" spans="1:7" x14ac:dyDescent="0.45">
      <c r="A43" s="13" t="s">
        <v>423</v>
      </c>
      <c r="B43" s="14"/>
      <c r="C43" s="14"/>
      <c r="D43" s="14"/>
      <c r="E43" s="14"/>
      <c r="F43" s="14"/>
      <c r="G43" s="14"/>
    </row>
    <row r="44" spans="1:7" x14ac:dyDescent="0.45">
      <c r="A44" s="35" t="s">
        <v>381</v>
      </c>
      <c r="B44" s="34" t="s">
        <v>384</v>
      </c>
      <c r="C44" s="36" t="s">
        <v>424</v>
      </c>
      <c r="D44" s="34" t="s">
        <v>502</v>
      </c>
      <c r="E44" s="34" t="s">
        <v>425</v>
      </c>
      <c r="F44" s="37"/>
      <c r="G44" s="35" t="s">
        <v>426</v>
      </c>
    </row>
    <row r="45" spans="1:7" x14ac:dyDescent="0.45">
      <c r="A45" s="23">
        <v>1</v>
      </c>
      <c r="B45" t="s">
        <v>503</v>
      </c>
      <c r="C45" s="24">
        <v>621.98</v>
      </c>
      <c r="D45" t="s">
        <v>504</v>
      </c>
      <c r="E45" t="s">
        <v>427</v>
      </c>
      <c r="G45" s="38" t="s">
        <v>428</v>
      </c>
    </row>
    <row r="46" spans="1:7" x14ac:dyDescent="0.45">
      <c r="A46" s="23">
        <v>2</v>
      </c>
      <c r="B46" t="s">
        <v>429</v>
      </c>
      <c r="C46" s="24">
        <v>31.56</v>
      </c>
      <c r="D46" s="39">
        <v>46026</v>
      </c>
      <c r="E46" t="s">
        <v>430</v>
      </c>
      <c r="G46" s="38" t="s">
        <v>428</v>
      </c>
    </row>
    <row r="47" spans="1:7" x14ac:dyDescent="0.45">
      <c r="A47" s="23">
        <v>3</v>
      </c>
      <c r="B47" t="s">
        <v>431</v>
      </c>
      <c r="C47" s="24">
        <v>3.45</v>
      </c>
      <c r="D47" s="39">
        <v>46207</v>
      </c>
      <c r="E47" t="s">
        <v>430</v>
      </c>
      <c r="G47" s="38" t="s">
        <v>428</v>
      </c>
    </row>
    <row r="48" spans="1:7" x14ac:dyDescent="0.45">
      <c r="A48" s="23">
        <v>4</v>
      </c>
      <c r="B48" t="s">
        <v>432</v>
      </c>
      <c r="C48" s="24">
        <v>16.57</v>
      </c>
      <c r="D48" t="s">
        <v>433</v>
      </c>
      <c r="E48" t="s">
        <v>430</v>
      </c>
      <c r="G48" s="38" t="s">
        <v>428</v>
      </c>
    </row>
    <row r="49" spans="1:7" x14ac:dyDescent="0.45">
      <c r="A49" s="23">
        <v>5</v>
      </c>
      <c r="B49" t="s">
        <v>434</v>
      </c>
      <c r="C49" s="24">
        <v>4.74</v>
      </c>
      <c r="D49" t="s">
        <v>433</v>
      </c>
      <c r="E49" t="s">
        <v>430</v>
      </c>
      <c r="G49" s="38" t="s">
        <v>428</v>
      </c>
    </row>
    <row r="50" spans="1:7" x14ac:dyDescent="0.45">
      <c r="A50" s="23">
        <v>6</v>
      </c>
      <c r="B50" t="s">
        <v>505</v>
      </c>
      <c r="C50" s="24">
        <v>7.89</v>
      </c>
      <c r="D50" t="s">
        <v>506</v>
      </c>
      <c r="E50" t="s">
        <v>507</v>
      </c>
      <c r="G50" s="38" t="s">
        <v>428</v>
      </c>
    </row>
    <row r="51" spans="1:7" x14ac:dyDescent="0.45">
      <c r="A51" s="23">
        <v>7</v>
      </c>
      <c r="B51" t="s">
        <v>508</v>
      </c>
      <c r="C51" s="24">
        <v>0.98</v>
      </c>
      <c r="D51" t="s">
        <v>509</v>
      </c>
      <c r="E51" t="s">
        <v>510</v>
      </c>
      <c r="G51" s="38" t="s">
        <v>428</v>
      </c>
    </row>
    <row r="52" spans="1:7" x14ac:dyDescent="0.45">
      <c r="A52" s="23">
        <v>8</v>
      </c>
      <c r="B52" t="s">
        <v>511</v>
      </c>
      <c r="C52" s="24">
        <v>11.45</v>
      </c>
      <c r="D52" t="s">
        <v>512</v>
      </c>
      <c r="E52" t="s">
        <v>510</v>
      </c>
      <c r="G52" s="38" t="s">
        <v>428</v>
      </c>
    </row>
    <row r="53" spans="1:7" x14ac:dyDescent="0.45">
      <c r="A53" s="23">
        <v>9</v>
      </c>
      <c r="B53" t="s">
        <v>513</v>
      </c>
      <c r="C53" s="24">
        <v>78.959999999999994</v>
      </c>
      <c r="D53" t="s">
        <v>512</v>
      </c>
      <c r="E53" t="s">
        <v>430</v>
      </c>
      <c r="G53" s="38" t="s">
        <v>428</v>
      </c>
    </row>
    <row r="54" spans="1:7" x14ac:dyDescent="0.45">
      <c r="A54" s="23">
        <v>10</v>
      </c>
      <c r="B54" t="s">
        <v>435</v>
      </c>
      <c r="C54" s="24">
        <v>40</v>
      </c>
      <c r="D54" t="s">
        <v>436</v>
      </c>
      <c r="E54" t="s">
        <v>437</v>
      </c>
      <c r="G54" s="38" t="s">
        <v>428</v>
      </c>
    </row>
    <row r="55" spans="1:7" x14ac:dyDescent="0.45">
      <c r="A55" s="23">
        <v>11</v>
      </c>
      <c r="B55" t="s">
        <v>514</v>
      </c>
      <c r="C55" s="24">
        <v>141.03</v>
      </c>
      <c r="D55" t="s">
        <v>515</v>
      </c>
      <c r="E55" t="s">
        <v>438</v>
      </c>
      <c r="G55" s="38" t="s">
        <v>439</v>
      </c>
    </row>
    <row r="56" spans="1:7" x14ac:dyDescent="0.45">
      <c r="A56" s="23">
        <v>12</v>
      </c>
      <c r="B56" t="s">
        <v>440</v>
      </c>
      <c r="C56" s="24">
        <v>125.5</v>
      </c>
      <c r="D56" t="s">
        <v>441</v>
      </c>
      <c r="E56" t="s">
        <v>442</v>
      </c>
      <c r="G56" s="38" t="s">
        <v>428</v>
      </c>
    </row>
    <row r="57" spans="1:7" x14ac:dyDescent="0.45">
      <c r="A57" s="23">
        <v>13</v>
      </c>
      <c r="B57" t="s">
        <v>443</v>
      </c>
      <c r="C57" s="24">
        <v>35</v>
      </c>
      <c r="D57" t="s">
        <v>433</v>
      </c>
      <c r="E57" t="s">
        <v>444</v>
      </c>
      <c r="G57" s="38" t="s">
        <v>445</v>
      </c>
    </row>
    <row r="58" spans="1:7" x14ac:dyDescent="0.45">
      <c r="A58" s="23">
        <v>14</v>
      </c>
      <c r="B58" t="s">
        <v>516</v>
      </c>
      <c r="C58" s="24">
        <v>500</v>
      </c>
      <c r="D58" s="39">
        <v>46177</v>
      </c>
      <c r="E58" t="s">
        <v>446</v>
      </c>
      <c r="G58" s="38" t="s">
        <v>447</v>
      </c>
    </row>
    <row r="59" spans="1:7" x14ac:dyDescent="0.45">
      <c r="A59" s="23">
        <v>15</v>
      </c>
      <c r="B59" t="s">
        <v>517</v>
      </c>
      <c r="C59" s="24">
        <v>11.05</v>
      </c>
      <c r="D59" t="s">
        <v>518</v>
      </c>
      <c r="E59" t="s">
        <v>448</v>
      </c>
      <c r="G59" s="38" t="s">
        <v>449</v>
      </c>
    </row>
    <row r="60" spans="1:7" x14ac:dyDescent="0.45">
      <c r="A60" s="23">
        <v>16</v>
      </c>
      <c r="B60" t="s">
        <v>450</v>
      </c>
      <c r="C60" s="24">
        <v>1.98</v>
      </c>
      <c r="D60" t="s">
        <v>451</v>
      </c>
      <c r="E60" t="s">
        <v>452</v>
      </c>
      <c r="G60" s="38" t="s">
        <v>449</v>
      </c>
    </row>
    <row r="61" spans="1:7" x14ac:dyDescent="0.45">
      <c r="A61" s="23">
        <v>17</v>
      </c>
      <c r="B61" t="s">
        <v>519</v>
      </c>
      <c r="C61" s="24">
        <v>430</v>
      </c>
      <c r="D61" t="s">
        <v>506</v>
      </c>
      <c r="E61" t="s">
        <v>520</v>
      </c>
      <c r="G61" s="38" t="s">
        <v>445</v>
      </c>
    </row>
    <row r="62" spans="1:7" x14ac:dyDescent="0.45">
      <c r="A62" s="23">
        <v>18</v>
      </c>
      <c r="B62" t="s">
        <v>521</v>
      </c>
      <c r="C62" s="24">
        <v>1000</v>
      </c>
      <c r="D62" t="s">
        <v>509</v>
      </c>
      <c r="E62" t="s">
        <v>522</v>
      </c>
      <c r="G62" s="38" t="s">
        <v>449</v>
      </c>
    </row>
    <row r="63" spans="1:7" x14ac:dyDescent="0.45">
      <c r="A63" s="23">
        <v>19</v>
      </c>
      <c r="B63" t="s">
        <v>523</v>
      </c>
      <c r="C63" s="24">
        <v>71.010000000000005</v>
      </c>
      <c r="D63" t="s">
        <v>509</v>
      </c>
      <c r="E63" t="s">
        <v>524</v>
      </c>
      <c r="G63" s="38" t="s">
        <v>445</v>
      </c>
    </row>
    <row r="64" spans="1:7" x14ac:dyDescent="0.45">
      <c r="A64" s="23">
        <v>20</v>
      </c>
      <c r="B64" t="s">
        <v>525</v>
      </c>
      <c r="C64" s="24">
        <v>121.8</v>
      </c>
      <c r="D64" t="s">
        <v>526</v>
      </c>
      <c r="E64" t="s">
        <v>527</v>
      </c>
      <c r="G64" s="38" t="s">
        <v>449</v>
      </c>
    </row>
    <row r="65" spans="1:7" x14ac:dyDescent="0.45">
      <c r="A65" s="23">
        <v>21</v>
      </c>
      <c r="B65" t="s">
        <v>528</v>
      </c>
      <c r="C65" s="24">
        <v>807</v>
      </c>
      <c r="D65" t="s">
        <v>529</v>
      </c>
      <c r="E65" t="s">
        <v>530</v>
      </c>
      <c r="G65" s="38" t="s">
        <v>445</v>
      </c>
    </row>
    <row r="66" spans="1:7" x14ac:dyDescent="0.45">
      <c r="A66" s="23">
        <v>22</v>
      </c>
      <c r="B66" t="s">
        <v>531</v>
      </c>
      <c r="C66" s="24">
        <v>700</v>
      </c>
      <c r="D66" t="s">
        <v>529</v>
      </c>
      <c r="E66" t="s">
        <v>532</v>
      </c>
      <c r="G66" s="38" t="s">
        <v>445</v>
      </c>
    </row>
    <row r="67" spans="1:7" x14ac:dyDescent="0.45">
      <c r="A67" s="23">
        <v>23</v>
      </c>
      <c r="B67" t="s">
        <v>533</v>
      </c>
      <c r="C67" s="24">
        <v>920</v>
      </c>
      <c r="D67" t="s">
        <v>534</v>
      </c>
      <c r="E67" t="s">
        <v>535</v>
      </c>
      <c r="G67" s="38" t="s">
        <v>449</v>
      </c>
    </row>
    <row r="68" spans="1:7" x14ac:dyDescent="0.45">
      <c r="A68" s="23">
        <v>24</v>
      </c>
      <c r="B68" t="s">
        <v>536</v>
      </c>
      <c r="C68" s="24">
        <v>86.54</v>
      </c>
      <c r="D68" t="s">
        <v>537</v>
      </c>
      <c r="E68" t="s">
        <v>538</v>
      </c>
      <c r="G68" s="38" t="s">
        <v>428</v>
      </c>
    </row>
    <row r="69" spans="1:7" x14ac:dyDescent="0.45">
      <c r="A69" s="23">
        <v>25</v>
      </c>
      <c r="B69" t="s">
        <v>539</v>
      </c>
      <c r="C69" s="24">
        <v>247.93</v>
      </c>
      <c r="D69" t="s">
        <v>540</v>
      </c>
      <c r="E69" t="s">
        <v>541</v>
      </c>
      <c r="G69" s="38" t="s">
        <v>542</v>
      </c>
    </row>
    <row r="70" spans="1:7" x14ac:dyDescent="0.45">
      <c r="B70" s="27" t="s">
        <v>453</v>
      </c>
      <c r="C70" s="28">
        <f>SUM(C45:C69)</f>
        <v>6016.420000000001</v>
      </c>
    </row>
    <row r="72" spans="1:7" x14ac:dyDescent="0.45">
      <c r="A72" s="15" t="s">
        <v>454</v>
      </c>
      <c r="B72" s="16"/>
      <c r="C72" s="16"/>
      <c r="D72" s="16"/>
      <c r="E72" s="16"/>
      <c r="F72" s="16"/>
      <c r="G72" s="16"/>
    </row>
    <row r="73" spans="1:7" x14ac:dyDescent="0.45">
      <c r="A73" s="41" t="s">
        <v>455</v>
      </c>
      <c r="B73" s="17"/>
      <c r="C73" s="42" t="s">
        <v>424</v>
      </c>
      <c r="D73" s="41" t="s">
        <v>456</v>
      </c>
      <c r="E73" s="17"/>
      <c r="F73" s="17"/>
      <c r="G73" s="17"/>
    </row>
    <row r="74" spans="1:7" x14ac:dyDescent="0.45">
      <c r="A74" t="s">
        <v>457</v>
      </c>
      <c r="C74" s="24">
        <v>5880</v>
      </c>
      <c r="D74" t="s">
        <v>458</v>
      </c>
    </row>
    <row r="75" spans="1:7" x14ac:dyDescent="0.45">
      <c r="A75" t="s">
        <v>459</v>
      </c>
      <c r="C75" s="24">
        <v>1500</v>
      </c>
      <c r="D75" t="s">
        <v>460</v>
      </c>
    </row>
    <row r="76" spans="1:7" x14ac:dyDescent="0.45">
      <c r="A76" t="s">
        <v>461</v>
      </c>
      <c r="C76" s="24">
        <v>500</v>
      </c>
      <c r="D76" t="s">
        <v>462</v>
      </c>
    </row>
    <row r="77" spans="1:7" x14ac:dyDescent="0.45">
      <c r="A77" s="27" t="s">
        <v>463</v>
      </c>
      <c r="C77" s="28">
        <f>SUM(C75:C76)</f>
        <v>2000</v>
      </c>
    </row>
    <row r="78" spans="1:7" x14ac:dyDescent="0.45">
      <c r="A78" s="18" t="s">
        <v>464</v>
      </c>
      <c r="C78" s="44">
        <f>C74-C77</f>
        <v>3880</v>
      </c>
      <c r="D78" t="s">
        <v>465</v>
      </c>
    </row>
    <row r="80" spans="1:7" x14ac:dyDescent="0.45">
      <c r="A80" s="45" t="s">
        <v>466</v>
      </c>
      <c r="B80" s="19"/>
      <c r="C80" s="19"/>
      <c r="D80" s="19"/>
      <c r="E80" s="19"/>
      <c r="F80" s="19"/>
      <c r="G80" s="19"/>
    </row>
    <row r="81" spans="2:4" x14ac:dyDescent="0.45">
      <c r="B81" s="27" t="s">
        <v>467</v>
      </c>
      <c r="C81" s="28">
        <f>C17+C41</f>
        <v>12597.757000000001</v>
      </c>
    </row>
    <row r="82" spans="2:4" x14ac:dyDescent="0.45">
      <c r="B82" t="s">
        <v>468</v>
      </c>
      <c r="C82" s="46">
        <f>C17</f>
        <v>3044.5569999999998</v>
      </c>
      <c r="D82" s="47">
        <f>C82/C81</f>
        <v>0.24167452983892287</v>
      </c>
    </row>
    <row r="83" spans="2:4" x14ac:dyDescent="0.45">
      <c r="B83" t="s">
        <v>469</v>
      </c>
      <c r="C83" s="43">
        <f>C41</f>
        <v>9553.2000000000007</v>
      </c>
      <c r="D83" s="48">
        <f>C83/C81</f>
        <v>0.7583254701610771</v>
      </c>
    </row>
    <row r="85" spans="2:4" x14ac:dyDescent="0.45">
      <c r="B85" t="s">
        <v>470</v>
      </c>
      <c r="C85" s="24">
        <f>C70</f>
        <v>6016.420000000001</v>
      </c>
    </row>
    <row r="86" spans="2:4" x14ac:dyDescent="0.45">
      <c r="B86" t="s">
        <v>471</v>
      </c>
      <c r="C86" s="43">
        <f>C78</f>
        <v>3880</v>
      </c>
    </row>
    <row r="88" spans="2:4" x14ac:dyDescent="0.45">
      <c r="B88" s="27" t="s">
        <v>472</v>
      </c>
    </row>
    <row r="89" spans="2:4" x14ac:dyDescent="0.45">
      <c r="B89" t="s">
        <v>543</v>
      </c>
    </row>
    <row r="90" spans="2:4" x14ac:dyDescent="0.45">
      <c r="B90" t="s">
        <v>544</v>
      </c>
    </row>
    <row r="91" spans="2:4" x14ac:dyDescent="0.45">
      <c r="B91" t="s">
        <v>473</v>
      </c>
    </row>
    <row r="92" spans="2:4" x14ac:dyDescent="0.45">
      <c r="B92" t="s">
        <v>545</v>
      </c>
    </row>
    <row r="93" spans="2:4" x14ac:dyDescent="0.45">
      <c r="B93" t="s">
        <v>546</v>
      </c>
    </row>
    <row r="94" spans="2:4" x14ac:dyDescent="0.45">
      <c r="B94" t="s">
        <v>547</v>
      </c>
    </row>
    <row r="95" spans="2:4" x14ac:dyDescent="0.45">
      <c r="B95" t="s">
        <v>548</v>
      </c>
    </row>
    <row r="97" spans="1:7" x14ac:dyDescent="0.45">
      <c r="A97" s="49" t="s">
        <v>549</v>
      </c>
      <c r="B97" s="50"/>
      <c r="C97" s="50"/>
      <c r="D97" s="50"/>
      <c r="E97" s="50"/>
      <c r="F97" s="50"/>
      <c r="G97" s="50"/>
    </row>
    <row r="98" spans="1:7" x14ac:dyDescent="0.45">
      <c r="A98" s="52" t="s">
        <v>381</v>
      </c>
      <c r="B98" s="51" t="s">
        <v>1</v>
      </c>
      <c r="C98" s="53" t="s">
        <v>424</v>
      </c>
      <c r="D98" s="51" t="s">
        <v>384</v>
      </c>
      <c r="E98" s="51" t="s">
        <v>426</v>
      </c>
      <c r="F98" s="54"/>
      <c r="G98" s="52" t="s">
        <v>387</v>
      </c>
    </row>
    <row r="99" spans="1:7" x14ac:dyDescent="0.45">
      <c r="A99" s="23">
        <v>1</v>
      </c>
      <c r="B99" s="55">
        <v>46026</v>
      </c>
      <c r="C99" s="24">
        <v>280</v>
      </c>
      <c r="D99" t="s">
        <v>550</v>
      </c>
      <c r="E99" t="s">
        <v>551</v>
      </c>
      <c r="G99" s="57" t="s">
        <v>552</v>
      </c>
    </row>
    <row r="100" spans="1:7" x14ac:dyDescent="0.45">
      <c r="A100" s="23">
        <v>2</v>
      </c>
      <c r="B100" s="55">
        <v>46026</v>
      </c>
      <c r="C100" s="24">
        <v>250</v>
      </c>
      <c r="D100" t="s">
        <v>553</v>
      </c>
      <c r="E100" t="s">
        <v>554</v>
      </c>
      <c r="G100" s="57" t="s">
        <v>555</v>
      </c>
    </row>
    <row r="101" spans="1:7" x14ac:dyDescent="0.45">
      <c r="A101" s="23">
        <v>3</v>
      </c>
      <c r="B101" s="55">
        <v>46026</v>
      </c>
      <c r="C101" s="24">
        <v>280</v>
      </c>
      <c r="D101" t="s">
        <v>556</v>
      </c>
      <c r="E101" t="s">
        <v>551</v>
      </c>
      <c r="G101" s="57" t="s">
        <v>552</v>
      </c>
    </row>
    <row r="102" spans="1:7" x14ac:dyDescent="0.45">
      <c r="A102" s="23">
        <v>4</v>
      </c>
      <c r="B102" s="55">
        <v>46057</v>
      </c>
      <c r="C102" s="24">
        <v>280</v>
      </c>
      <c r="D102" t="s">
        <v>557</v>
      </c>
      <c r="E102" t="s">
        <v>551</v>
      </c>
      <c r="G102" s="57" t="s">
        <v>552</v>
      </c>
    </row>
    <row r="103" spans="1:7" x14ac:dyDescent="0.45">
      <c r="A103" s="23">
        <v>5</v>
      </c>
      <c r="B103" s="55">
        <v>46057</v>
      </c>
      <c r="C103" s="24">
        <v>240</v>
      </c>
      <c r="D103" t="s">
        <v>558</v>
      </c>
      <c r="E103" t="s">
        <v>551</v>
      </c>
      <c r="G103" s="57" t="s">
        <v>552</v>
      </c>
    </row>
    <row r="104" spans="1:7" x14ac:dyDescent="0.45">
      <c r="A104" s="23">
        <v>6</v>
      </c>
      <c r="B104" s="55">
        <v>46057</v>
      </c>
      <c r="C104" s="24">
        <v>220</v>
      </c>
      <c r="D104" t="s">
        <v>559</v>
      </c>
      <c r="E104" t="s">
        <v>551</v>
      </c>
      <c r="G104" s="57" t="s">
        <v>552</v>
      </c>
    </row>
    <row r="105" spans="1:7" x14ac:dyDescent="0.45">
      <c r="A105" s="23">
        <v>7</v>
      </c>
      <c r="B105" s="55">
        <v>46057</v>
      </c>
      <c r="C105" s="24">
        <v>280</v>
      </c>
      <c r="D105" t="s">
        <v>560</v>
      </c>
      <c r="E105" t="s">
        <v>551</v>
      </c>
      <c r="G105" s="57" t="s">
        <v>552</v>
      </c>
    </row>
    <row r="106" spans="1:7" x14ac:dyDescent="0.45">
      <c r="A106" s="23">
        <v>8</v>
      </c>
      <c r="B106" s="55">
        <v>46057</v>
      </c>
      <c r="C106" s="24">
        <v>280</v>
      </c>
      <c r="D106" t="s">
        <v>561</v>
      </c>
      <c r="E106" t="s">
        <v>551</v>
      </c>
      <c r="G106" s="57" t="s">
        <v>552</v>
      </c>
    </row>
    <row r="107" spans="1:7" x14ac:dyDescent="0.45">
      <c r="A107" s="59" t="s">
        <v>595</v>
      </c>
      <c r="B107" s="55">
        <v>46057</v>
      </c>
      <c r="C107" s="24">
        <v>460</v>
      </c>
      <c r="D107" t="s">
        <v>596</v>
      </c>
      <c r="E107" t="s">
        <v>551</v>
      </c>
      <c r="G107" s="57" t="s">
        <v>552</v>
      </c>
    </row>
    <row r="108" spans="1:7" x14ac:dyDescent="0.45">
      <c r="A108" s="23">
        <v>10</v>
      </c>
      <c r="B108" s="55">
        <v>46146</v>
      </c>
      <c r="C108" s="24">
        <v>280</v>
      </c>
      <c r="D108" t="s">
        <v>562</v>
      </c>
      <c r="E108" t="s">
        <v>554</v>
      </c>
      <c r="G108" s="57" t="s">
        <v>555</v>
      </c>
    </row>
    <row r="109" spans="1:7" x14ac:dyDescent="0.45">
      <c r="A109" s="23">
        <v>11</v>
      </c>
      <c r="B109" s="55">
        <v>46146</v>
      </c>
      <c r="C109" s="24">
        <v>220</v>
      </c>
      <c r="D109" t="s">
        <v>563</v>
      </c>
      <c r="E109" t="s">
        <v>564</v>
      </c>
      <c r="G109" s="57" t="s">
        <v>555</v>
      </c>
    </row>
    <row r="110" spans="1:7" x14ac:dyDescent="0.45">
      <c r="A110" s="23">
        <v>12</v>
      </c>
      <c r="B110" s="55">
        <v>46146</v>
      </c>
      <c r="C110" s="24">
        <v>280</v>
      </c>
      <c r="D110" t="s">
        <v>565</v>
      </c>
      <c r="E110" t="s">
        <v>551</v>
      </c>
      <c r="G110" s="57" t="s">
        <v>552</v>
      </c>
    </row>
    <row r="111" spans="1:7" x14ac:dyDescent="0.45">
      <c r="A111" s="23">
        <v>13</v>
      </c>
      <c r="B111" s="55">
        <v>46177</v>
      </c>
      <c r="C111" s="24">
        <v>280</v>
      </c>
      <c r="D111" t="s">
        <v>566</v>
      </c>
      <c r="E111" t="s">
        <v>551</v>
      </c>
      <c r="G111" s="57" t="s">
        <v>552</v>
      </c>
    </row>
    <row r="112" spans="1:7" x14ac:dyDescent="0.45">
      <c r="A112" s="59" t="s">
        <v>595</v>
      </c>
      <c r="B112" s="55">
        <v>46177</v>
      </c>
      <c r="C112" s="24">
        <v>450</v>
      </c>
      <c r="D112" t="s">
        <v>597</v>
      </c>
      <c r="E112" t="s">
        <v>598</v>
      </c>
      <c r="G112" s="57" t="s">
        <v>552</v>
      </c>
    </row>
    <row r="113" spans="1:7" x14ac:dyDescent="0.45">
      <c r="A113" s="59" t="s">
        <v>595</v>
      </c>
      <c r="B113" s="55">
        <v>46177</v>
      </c>
      <c r="C113" s="24">
        <v>460</v>
      </c>
      <c r="D113" t="s">
        <v>601</v>
      </c>
      <c r="E113" s="16" t="s">
        <v>554</v>
      </c>
      <c r="G113" s="26" t="s">
        <v>602</v>
      </c>
    </row>
    <row r="114" spans="1:7" x14ac:dyDescent="0.45">
      <c r="A114" s="23">
        <v>14</v>
      </c>
      <c r="B114" s="55">
        <v>46207</v>
      </c>
      <c r="C114" s="24">
        <v>280</v>
      </c>
      <c r="D114" t="s">
        <v>567</v>
      </c>
      <c r="E114" t="s">
        <v>551</v>
      </c>
      <c r="G114" s="57" t="s">
        <v>552</v>
      </c>
    </row>
    <row r="115" spans="1:7" x14ac:dyDescent="0.45">
      <c r="A115" s="23">
        <v>15</v>
      </c>
      <c r="B115" s="55">
        <v>46269</v>
      </c>
      <c r="C115" s="24">
        <v>280</v>
      </c>
      <c r="D115" t="s">
        <v>568</v>
      </c>
      <c r="E115" t="s">
        <v>551</v>
      </c>
      <c r="G115" s="57" t="s">
        <v>552</v>
      </c>
    </row>
    <row r="116" spans="1:7" x14ac:dyDescent="0.45">
      <c r="A116" s="23">
        <v>16</v>
      </c>
      <c r="B116" s="55">
        <v>46360</v>
      </c>
      <c r="C116" s="24">
        <v>220</v>
      </c>
      <c r="D116" t="s">
        <v>569</v>
      </c>
      <c r="E116" t="s">
        <v>551</v>
      </c>
      <c r="G116" s="57" t="s">
        <v>552</v>
      </c>
    </row>
    <row r="117" spans="1:7" x14ac:dyDescent="0.45">
      <c r="A117" s="23">
        <v>17</v>
      </c>
      <c r="B117" s="55">
        <v>46360</v>
      </c>
      <c r="C117" s="24">
        <v>250</v>
      </c>
      <c r="D117" t="s">
        <v>570</v>
      </c>
      <c r="E117" t="s">
        <v>551</v>
      </c>
      <c r="G117" s="57" t="s">
        <v>552</v>
      </c>
    </row>
    <row r="118" spans="1:7" x14ac:dyDescent="0.45">
      <c r="A118" s="23">
        <v>18</v>
      </c>
      <c r="B118" s="55">
        <v>46360</v>
      </c>
      <c r="C118" s="24">
        <v>280</v>
      </c>
      <c r="D118" t="s">
        <v>571</v>
      </c>
      <c r="E118" t="s">
        <v>551</v>
      </c>
      <c r="G118" s="57" t="s">
        <v>552</v>
      </c>
    </row>
    <row r="119" spans="1:7" x14ac:dyDescent="0.45">
      <c r="A119" s="23">
        <v>20</v>
      </c>
      <c r="B119" t="s">
        <v>573</v>
      </c>
      <c r="C119" s="24">
        <v>300</v>
      </c>
      <c r="D119" t="s">
        <v>574</v>
      </c>
      <c r="E119" t="s">
        <v>551</v>
      </c>
      <c r="G119" s="57" t="s">
        <v>552</v>
      </c>
    </row>
    <row r="120" spans="1:7" x14ac:dyDescent="0.45">
      <c r="A120" s="23">
        <v>21</v>
      </c>
      <c r="B120" t="s">
        <v>575</v>
      </c>
      <c r="C120" s="24">
        <v>270</v>
      </c>
      <c r="D120" t="s">
        <v>576</v>
      </c>
      <c r="E120" t="s">
        <v>551</v>
      </c>
      <c r="G120" s="57" t="s">
        <v>552</v>
      </c>
    </row>
    <row r="121" spans="1:7" x14ac:dyDescent="0.45">
      <c r="A121" s="23">
        <v>22</v>
      </c>
      <c r="B121" t="s">
        <v>577</v>
      </c>
      <c r="C121" s="24">
        <v>280</v>
      </c>
      <c r="D121" t="s">
        <v>578</v>
      </c>
      <c r="E121" t="s">
        <v>551</v>
      </c>
      <c r="G121" s="57" t="s">
        <v>552</v>
      </c>
    </row>
    <row r="122" spans="1:7" x14ac:dyDescent="0.45">
      <c r="A122" s="23">
        <v>23</v>
      </c>
      <c r="B122" t="s">
        <v>579</v>
      </c>
      <c r="C122" s="24">
        <v>280</v>
      </c>
      <c r="D122" t="s">
        <v>580</v>
      </c>
      <c r="E122" t="s">
        <v>551</v>
      </c>
      <c r="G122" s="57" t="s">
        <v>552</v>
      </c>
    </row>
    <row r="123" spans="1:7" x14ac:dyDescent="0.45">
      <c r="A123" s="23">
        <v>24</v>
      </c>
      <c r="B123" t="s">
        <v>579</v>
      </c>
      <c r="C123" s="24">
        <v>220</v>
      </c>
      <c r="D123" t="s">
        <v>581</v>
      </c>
      <c r="E123" t="s">
        <v>551</v>
      </c>
      <c r="G123" s="57" t="s">
        <v>552</v>
      </c>
    </row>
    <row r="124" spans="1:7" x14ac:dyDescent="0.45">
      <c r="A124" s="23">
        <v>25</v>
      </c>
      <c r="B124" t="s">
        <v>579</v>
      </c>
      <c r="C124" s="24">
        <v>230</v>
      </c>
      <c r="D124" t="s">
        <v>582</v>
      </c>
      <c r="E124" t="s">
        <v>551</v>
      </c>
      <c r="G124" s="57" t="s">
        <v>552</v>
      </c>
    </row>
    <row r="125" spans="1:7" x14ac:dyDescent="0.45">
      <c r="A125" s="23">
        <v>26</v>
      </c>
      <c r="B125" t="s">
        <v>579</v>
      </c>
      <c r="C125" s="24">
        <v>280</v>
      </c>
      <c r="D125" t="s">
        <v>583</v>
      </c>
      <c r="E125" t="s">
        <v>551</v>
      </c>
      <c r="G125" s="57" t="s">
        <v>552</v>
      </c>
    </row>
    <row r="126" spans="1:7" x14ac:dyDescent="0.45">
      <c r="A126" s="23">
        <v>27</v>
      </c>
      <c r="B126" t="s">
        <v>584</v>
      </c>
      <c r="C126" s="24">
        <v>280</v>
      </c>
      <c r="D126" t="s">
        <v>585</v>
      </c>
      <c r="E126" t="s">
        <v>551</v>
      </c>
      <c r="G126" s="57" t="s">
        <v>552</v>
      </c>
    </row>
    <row r="127" spans="1:7" x14ac:dyDescent="0.45">
      <c r="A127" s="23">
        <v>28</v>
      </c>
      <c r="B127" t="s">
        <v>586</v>
      </c>
      <c r="C127" s="24">
        <v>280</v>
      </c>
      <c r="D127" t="s">
        <v>587</v>
      </c>
      <c r="E127" t="s">
        <v>551</v>
      </c>
      <c r="G127" s="57" t="s">
        <v>552</v>
      </c>
    </row>
    <row r="128" spans="1:7" x14ac:dyDescent="0.45">
      <c r="A128" s="23">
        <v>29</v>
      </c>
      <c r="B128" t="s">
        <v>586</v>
      </c>
      <c r="C128" s="24">
        <v>280</v>
      </c>
      <c r="D128" t="s">
        <v>588</v>
      </c>
      <c r="E128" t="s">
        <v>551</v>
      </c>
      <c r="G128" s="57" t="s">
        <v>552</v>
      </c>
    </row>
    <row r="129" spans="1:7" x14ac:dyDescent="0.45">
      <c r="A129" s="23">
        <v>30</v>
      </c>
      <c r="B129" t="s">
        <v>589</v>
      </c>
      <c r="C129" s="24">
        <v>230</v>
      </c>
      <c r="D129" t="s">
        <v>590</v>
      </c>
      <c r="E129" t="s">
        <v>551</v>
      </c>
      <c r="G129" s="57" t="s">
        <v>552</v>
      </c>
    </row>
    <row r="130" spans="1:7" x14ac:dyDescent="0.45">
      <c r="A130" s="23">
        <v>31</v>
      </c>
      <c r="B130" t="s">
        <v>589</v>
      </c>
      <c r="C130" s="24">
        <v>280</v>
      </c>
      <c r="D130" t="s">
        <v>591</v>
      </c>
      <c r="E130" t="s">
        <v>551</v>
      </c>
      <c r="G130" s="57" t="s">
        <v>552</v>
      </c>
    </row>
    <row r="131" spans="1:7" x14ac:dyDescent="0.45">
      <c r="B131" s="27" t="s">
        <v>592</v>
      </c>
      <c r="C131" s="28">
        <f>SUM(C99:C130)</f>
        <v>9060</v>
      </c>
    </row>
    <row r="132" spans="1:7" x14ac:dyDescent="0.45">
      <c r="B132" t="s">
        <v>593</v>
      </c>
      <c r="C132" s="24">
        <f>C100+C108+C109+C113</f>
        <v>1210</v>
      </c>
    </row>
    <row r="133" spans="1:7" x14ac:dyDescent="0.45">
      <c r="B133" t="s">
        <v>599</v>
      </c>
      <c r="C133" s="24">
        <f>C131-C132</f>
        <v>7850</v>
      </c>
    </row>
    <row r="135" spans="1:7" x14ac:dyDescent="0.45">
      <c r="B135" s="58" t="s">
        <v>600</v>
      </c>
    </row>
    <row r="136" spans="1:7" x14ac:dyDescent="0.45">
      <c r="B136" s="58" t="s">
        <v>594</v>
      </c>
    </row>
    <row r="138" spans="1:7" x14ac:dyDescent="0.45">
      <c r="A138" s="49" t="s">
        <v>603</v>
      </c>
      <c r="B138" s="50"/>
      <c r="C138" s="50"/>
      <c r="D138" s="50"/>
    </row>
    <row r="139" spans="1:7" x14ac:dyDescent="0.45">
      <c r="B139" s="27" t="s">
        <v>604</v>
      </c>
      <c r="C139" s="24">
        <f>SUM(C99:C118)</f>
        <v>5850</v>
      </c>
    </row>
    <row r="140" spans="1:7" x14ac:dyDescent="0.45">
      <c r="B140" s="27" t="s">
        <v>605</v>
      </c>
      <c r="C140" s="24">
        <f>'Expenses record'!G528</f>
        <v>9090</v>
      </c>
    </row>
    <row r="141" spans="1:7" x14ac:dyDescent="0.45">
      <c r="B141" s="27" t="s">
        <v>606</v>
      </c>
      <c r="C141" s="28">
        <f>C140-C139</f>
        <v>3240</v>
      </c>
      <c r="D141" s="60" t="s">
        <v>607</v>
      </c>
    </row>
    <row r="143" spans="1:7" x14ac:dyDescent="0.45">
      <c r="B143" s="61" t="s">
        <v>608</v>
      </c>
      <c r="C143" s="63">
        <f>SUM(C119:C130)</f>
        <v>3210</v>
      </c>
      <c r="D143" s="62" t="s">
        <v>609</v>
      </c>
    </row>
    <row r="145" spans="1:7" x14ac:dyDescent="0.45">
      <c r="B145" t="s">
        <v>610</v>
      </c>
      <c r="C145" s="24">
        <f>C140+C143-30</f>
        <v>12270</v>
      </c>
      <c r="D145" t="s">
        <v>611</v>
      </c>
    </row>
    <row r="148" spans="1:7" x14ac:dyDescent="0.45">
      <c r="A148" s="64" t="s">
        <v>612</v>
      </c>
      <c r="B148" s="65"/>
      <c r="C148" s="65"/>
      <c r="D148" s="65"/>
      <c r="E148" s="65"/>
      <c r="F148" s="65"/>
      <c r="G148" s="65"/>
    </row>
    <row r="149" spans="1:7" x14ac:dyDescent="0.45">
      <c r="A149" s="67" t="s">
        <v>613</v>
      </c>
      <c r="B149" s="66" t="s">
        <v>2</v>
      </c>
      <c r="C149" s="68" t="s">
        <v>0</v>
      </c>
      <c r="D149" s="66" t="s">
        <v>614</v>
      </c>
      <c r="E149" s="66" t="s">
        <v>615</v>
      </c>
      <c r="F149" s="67" t="s">
        <v>387</v>
      </c>
      <c r="G149" s="66" t="s">
        <v>616</v>
      </c>
    </row>
    <row r="150" spans="1:7" x14ac:dyDescent="0.45">
      <c r="A150">
        <v>470</v>
      </c>
      <c r="B150" t="s">
        <v>136</v>
      </c>
      <c r="C150" s="24">
        <v>1500</v>
      </c>
      <c r="D150" t="s">
        <v>617</v>
      </c>
      <c r="E150" s="55">
        <v>46026</v>
      </c>
      <c r="F150" s="59" t="s">
        <v>618</v>
      </c>
    </row>
    <row r="151" spans="1:7" x14ac:dyDescent="0.45">
      <c r="A151">
        <v>471</v>
      </c>
      <c r="B151" t="s">
        <v>312</v>
      </c>
      <c r="C151" s="24">
        <v>1562.4</v>
      </c>
      <c r="D151" t="s">
        <v>619</v>
      </c>
      <c r="F151" s="69" t="s">
        <v>620</v>
      </c>
      <c r="G151" t="s">
        <v>621</v>
      </c>
    </row>
    <row r="152" spans="1:7" x14ac:dyDescent="0.45">
      <c r="A152">
        <v>472</v>
      </c>
      <c r="B152" t="s">
        <v>5</v>
      </c>
      <c r="C152" s="24">
        <v>150</v>
      </c>
      <c r="D152" t="s">
        <v>622</v>
      </c>
      <c r="E152" s="55">
        <v>46026</v>
      </c>
      <c r="F152" s="59" t="s">
        <v>618</v>
      </c>
    </row>
    <row r="153" spans="1:7" x14ac:dyDescent="0.45">
      <c r="A153">
        <v>473</v>
      </c>
      <c r="B153" t="s">
        <v>142</v>
      </c>
      <c r="C153" s="24">
        <v>70</v>
      </c>
      <c r="D153" t="s">
        <v>623</v>
      </c>
      <c r="F153" s="71" t="s">
        <v>624</v>
      </c>
      <c r="G153" t="s">
        <v>625</v>
      </c>
    </row>
    <row r="154" spans="1:7" x14ac:dyDescent="0.45">
      <c r="A154">
        <v>474</v>
      </c>
      <c r="B154" t="s">
        <v>255</v>
      </c>
      <c r="C154" s="24">
        <v>560</v>
      </c>
      <c r="D154" t="s">
        <v>623</v>
      </c>
      <c r="F154" s="71" t="s">
        <v>624</v>
      </c>
      <c r="G154" t="s">
        <v>626</v>
      </c>
    </row>
    <row r="155" spans="1:7" x14ac:dyDescent="0.45">
      <c r="A155">
        <v>475</v>
      </c>
      <c r="B155" t="s">
        <v>627</v>
      </c>
      <c r="C155" s="24">
        <v>51.4</v>
      </c>
      <c r="D155" t="s">
        <v>628</v>
      </c>
      <c r="E155" s="55">
        <v>46146</v>
      </c>
      <c r="F155" s="59" t="s">
        <v>618</v>
      </c>
    </row>
    <row r="156" spans="1:7" x14ac:dyDescent="0.45">
      <c r="A156">
        <v>476</v>
      </c>
      <c r="B156" t="s">
        <v>371</v>
      </c>
      <c r="C156" s="24">
        <v>16</v>
      </c>
      <c r="D156" t="s">
        <v>623</v>
      </c>
      <c r="F156" s="71" t="s">
        <v>624</v>
      </c>
    </row>
    <row r="157" spans="1:7" x14ac:dyDescent="0.45">
      <c r="A157">
        <v>477</v>
      </c>
      <c r="B157" t="s">
        <v>394</v>
      </c>
      <c r="C157" s="24">
        <v>601</v>
      </c>
      <c r="D157" t="s">
        <v>629</v>
      </c>
      <c r="E157" s="55">
        <v>46057</v>
      </c>
      <c r="F157" s="59" t="s">
        <v>618</v>
      </c>
      <c r="G157" t="s">
        <v>630</v>
      </c>
    </row>
    <row r="158" spans="1:7" x14ac:dyDescent="0.45">
      <c r="A158">
        <v>478</v>
      </c>
      <c r="B158" t="s">
        <v>631</v>
      </c>
      <c r="C158" s="24">
        <v>10</v>
      </c>
      <c r="D158" t="s">
        <v>623</v>
      </c>
      <c r="F158" s="71" t="s">
        <v>624</v>
      </c>
    </row>
    <row r="159" spans="1:7" x14ac:dyDescent="0.45">
      <c r="A159">
        <v>479</v>
      </c>
      <c r="B159" t="s">
        <v>413</v>
      </c>
      <c r="C159" s="24">
        <v>550</v>
      </c>
      <c r="D159" t="s">
        <v>623</v>
      </c>
      <c r="F159" s="72" t="s">
        <v>624</v>
      </c>
    </row>
    <row r="160" spans="1:7" x14ac:dyDescent="0.45">
      <c r="A160">
        <v>480</v>
      </c>
      <c r="B160" t="s">
        <v>372</v>
      </c>
      <c r="C160" s="24">
        <v>80</v>
      </c>
      <c r="D160" t="s">
        <v>623</v>
      </c>
      <c r="F160" s="71" t="s">
        <v>624</v>
      </c>
    </row>
    <row r="161" spans="1:7" x14ac:dyDescent="0.45">
      <c r="A161">
        <v>481</v>
      </c>
      <c r="B161" t="s">
        <v>627</v>
      </c>
      <c r="C161" s="24">
        <v>101.8</v>
      </c>
      <c r="D161" t="s">
        <v>623</v>
      </c>
      <c r="F161" s="71" t="s">
        <v>624</v>
      </c>
      <c r="G161" t="s">
        <v>632</v>
      </c>
    </row>
    <row r="162" spans="1:7" x14ac:dyDescent="0.45">
      <c r="A162">
        <v>482</v>
      </c>
      <c r="B162" t="s">
        <v>337</v>
      </c>
      <c r="C162" s="24">
        <v>111.937</v>
      </c>
      <c r="D162" t="s">
        <v>633</v>
      </c>
      <c r="E162" s="55">
        <v>46146</v>
      </c>
      <c r="F162" s="59" t="s">
        <v>618</v>
      </c>
    </row>
    <row r="163" spans="1:7" x14ac:dyDescent="0.45">
      <c r="A163">
        <v>483</v>
      </c>
      <c r="B163" t="s">
        <v>634</v>
      </c>
      <c r="C163" s="24">
        <v>55</v>
      </c>
      <c r="D163" t="s">
        <v>623</v>
      </c>
      <c r="F163" s="71" t="s">
        <v>624</v>
      </c>
    </row>
    <row r="164" spans="1:7" x14ac:dyDescent="0.45">
      <c r="A164">
        <v>484</v>
      </c>
      <c r="B164" t="s">
        <v>635</v>
      </c>
      <c r="C164" s="24">
        <v>23.37</v>
      </c>
      <c r="D164" t="s">
        <v>623</v>
      </c>
      <c r="F164" s="71" t="s">
        <v>624</v>
      </c>
    </row>
    <row r="165" spans="1:7" x14ac:dyDescent="0.45">
      <c r="A165">
        <v>485</v>
      </c>
      <c r="B165" t="s">
        <v>636</v>
      </c>
      <c r="C165" s="24">
        <v>61.15</v>
      </c>
      <c r="D165" t="s">
        <v>623</v>
      </c>
      <c r="F165" s="71" t="s">
        <v>624</v>
      </c>
    </row>
    <row r="166" spans="1:7" x14ac:dyDescent="0.45">
      <c r="A166">
        <v>486</v>
      </c>
      <c r="B166" t="s">
        <v>637</v>
      </c>
      <c r="C166" s="24">
        <v>40</v>
      </c>
      <c r="D166" t="s">
        <v>623</v>
      </c>
      <c r="F166" s="71" t="s">
        <v>624</v>
      </c>
    </row>
    <row r="167" spans="1:7" x14ac:dyDescent="0.45">
      <c r="A167">
        <v>487</v>
      </c>
      <c r="B167" t="s">
        <v>374</v>
      </c>
      <c r="C167" s="24">
        <v>80</v>
      </c>
      <c r="D167" t="s">
        <v>623</v>
      </c>
      <c r="F167" s="71" t="s">
        <v>624</v>
      </c>
    </row>
    <row r="168" spans="1:7" x14ac:dyDescent="0.45">
      <c r="A168">
        <v>488</v>
      </c>
      <c r="B168" t="s">
        <v>416</v>
      </c>
      <c r="C168" s="24">
        <v>350</v>
      </c>
      <c r="D168" t="s">
        <v>623</v>
      </c>
      <c r="F168" s="71" t="s">
        <v>624</v>
      </c>
    </row>
    <row r="169" spans="1:7" x14ac:dyDescent="0.45">
      <c r="A169">
        <v>489</v>
      </c>
      <c r="B169" t="s">
        <v>417</v>
      </c>
      <c r="C169" s="24">
        <v>50</v>
      </c>
      <c r="D169" t="s">
        <v>638</v>
      </c>
      <c r="E169" s="55">
        <v>46269</v>
      </c>
      <c r="F169" s="73" t="s">
        <v>639</v>
      </c>
    </row>
    <row r="170" spans="1:7" x14ac:dyDescent="0.45">
      <c r="A170">
        <v>490</v>
      </c>
      <c r="B170" t="s">
        <v>418</v>
      </c>
      <c r="C170" s="24">
        <v>1370</v>
      </c>
      <c r="D170" t="s">
        <v>623</v>
      </c>
      <c r="F170" s="69" t="s">
        <v>620</v>
      </c>
      <c r="G170" t="s">
        <v>640</v>
      </c>
    </row>
    <row r="171" spans="1:7" x14ac:dyDescent="0.45">
      <c r="A171">
        <v>491</v>
      </c>
      <c r="B171" t="s">
        <v>420</v>
      </c>
      <c r="C171" s="24">
        <v>20</v>
      </c>
      <c r="D171" t="s">
        <v>623</v>
      </c>
      <c r="F171" s="71" t="s">
        <v>624</v>
      </c>
    </row>
    <row r="172" spans="1:7" x14ac:dyDescent="0.45">
      <c r="A172">
        <v>492</v>
      </c>
      <c r="B172" t="s">
        <v>366</v>
      </c>
      <c r="C172" s="24">
        <v>80.2</v>
      </c>
      <c r="D172" t="s">
        <v>628</v>
      </c>
      <c r="E172" t="s">
        <v>572</v>
      </c>
      <c r="F172" s="59" t="s">
        <v>618</v>
      </c>
    </row>
    <row r="173" spans="1:7" x14ac:dyDescent="0.45">
      <c r="A173">
        <v>493</v>
      </c>
      <c r="B173" t="s">
        <v>421</v>
      </c>
      <c r="C173" s="24">
        <v>80</v>
      </c>
      <c r="D173" t="s">
        <v>623</v>
      </c>
      <c r="F173" s="71" t="s">
        <v>624</v>
      </c>
    </row>
    <row r="174" spans="1:7" x14ac:dyDescent="0.45">
      <c r="A174">
        <v>494</v>
      </c>
      <c r="B174" t="s">
        <v>641</v>
      </c>
      <c r="C174" s="24">
        <v>143</v>
      </c>
      <c r="D174" t="s">
        <v>623</v>
      </c>
      <c r="F174" s="71" t="s">
        <v>624</v>
      </c>
    </row>
    <row r="175" spans="1:7" x14ac:dyDescent="0.45">
      <c r="A175">
        <v>495</v>
      </c>
      <c r="B175" t="s">
        <v>637</v>
      </c>
      <c r="C175" s="24">
        <v>30</v>
      </c>
      <c r="D175" t="s">
        <v>623</v>
      </c>
      <c r="F175" s="71" t="s">
        <v>624</v>
      </c>
    </row>
    <row r="176" spans="1:7" x14ac:dyDescent="0.45">
      <c r="A176">
        <v>496</v>
      </c>
      <c r="B176" t="s">
        <v>483</v>
      </c>
      <c r="C176" s="24">
        <v>30.1</v>
      </c>
      <c r="D176" t="s">
        <v>642</v>
      </c>
      <c r="E176" t="s">
        <v>643</v>
      </c>
      <c r="F176" s="59" t="s">
        <v>618</v>
      </c>
    </row>
    <row r="177" spans="1:7" x14ac:dyDescent="0.45">
      <c r="A177">
        <v>497</v>
      </c>
      <c r="B177" t="s">
        <v>485</v>
      </c>
      <c r="C177" s="24">
        <v>160</v>
      </c>
      <c r="D177" t="s">
        <v>644</v>
      </c>
      <c r="E177" t="s">
        <v>643</v>
      </c>
      <c r="F177" s="59" t="s">
        <v>618</v>
      </c>
    </row>
    <row r="178" spans="1:7" x14ac:dyDescent="0.45">
      <c r="A178">
        <v>498</v>
      </c>
      <c r="B178" t="s">
        <v>421</v>
      </c>
      <c r="C178" s="24">
        <v>40</v>
      </c>
      <c r="D178" t="s">
        <v>623</v>
      </c>
      <c r="F178" s="71" t="s">
        <v>624</v>
      </c>
    </row>
    <row r="179" spans="1:7" x14ac:dyDescent="0.45">
      <c r="A179">
        <v>499</v>
      </c>
      <c r="B179" t="s">
        <v>488</v>
      </c>
      <c r="C179" s="24">
        <v>142.9</v>
      </c>
      <c r="D179" t="s">
        <v>645</v>
      </c>
      <c r="E179" t="s">
        <v>584</v>
      </c>
      <c r="F179" s="59" t="s">
        <v>618</v>
      </c>
    </row>
    <row r="180" spans="1:7" x14ac:dyDescent="0.45">
      <c r="A180">
        <v>500</v>
      </c>
      <c r="B180" t="s">
        <v>646</v>
      </c>
      <c r="C180" s="24">
        <v>1400</v>
      </c>
      <c r="D180" t="s">
        <v>647</v>
      </c>
      <c r="E180" t="s">
        <v>648</v>
      </c>
      <c r="F180" s="73" t="s">
        <v>649</v>
      </c>
      <c r="G180" t="s">
        <v>650</v>
      </c>
    </row>
    <row r="181" spans="1:7" x14ac:dyDescent="0.45">
      <c r="A181">
        <v>501</v>
      </c>
      <c r="B181" t="s">
        <v>479</v>
      </c>
      <c r="C181" s="24">
        <v>40</v>
      </c>
      <c r="D181" t="s">
        <v>623</v>
      </c>
      <c r="F181" s="72" t="s">
        <v>624</v>
      </c>
    </row>
    <row r="182" spans="1:7" x14ac:dyDescent="0.45">
      <c r="A182">
        <v>502</v>
      </c>
      <c r="B182" t="s">
        <v>159</v>
      </c>
      <c r="C182" s="24">
        <v>77.5</v>
      </c>
      <c r="D182" t="s">
        <v>651</v>
      </c>
      <c r="E182" t="s">
        <v>648</v>
      </c>
      <c r="F182" s="59" t="s">
        <v>618</v>
      </c>
    </row>
    <row r="183" spans="1:7" x14ac:dyDescent="0.45">
      <c r="A183">
        <v>503</v>
      </c>
      <c r="B183" t="s">
        <v>652</v>
      </c>
      <c r="C183" s="24">
        <v>2960</v>
      </c>
      <c r="D183" t="s">
        <v>623</v>
      </c>
      <c r="F183" s="69" t="s">
        <v>620</v>
      </c>
      <c r="G183" t="s">
        <v>653</v>
      </c>
    </row>
    <row r="185" spans="1:7" x14ac:dyDescent="0.45">
      <c r="B185" s="74" t="s">
        <v>654</v>
      </c>
      <c r="C185" s="75">
        <f>SUM(C150:C183)</f>
        <v>12597.757</v>
      </c>
    </row>
    <row r="186" spans="1:7" x14ac:dyDescent="0.45">
      <c r="B186" s="56" t="s">
        <v>655</v>
      </c>
      <c r="C186" s="76">
        <f>SUMIF(F150:F183,"MATCH",C150:C183)</f>
        <v>2905.0369999999998</v>
      </c>
    </row>
    <row r="187" spans="1:7" x14ac:dyDescent="0.45">
      <c r="B187" s="70" t="s">
        <v>656</v>
      </c>
      <c r="C187" s="77">
        <f>SUMIF(F150:F183,"CASH",C150:C183)</f>
        <v>2350.3199999999997</v>
      </c>
    </row>
    <row r="188" spans="1:7" x14ac:dyDescent="0.45">
      <c r="B188" s="40" t="s">
        <v>657</v>
      </c>
      <c r="C188" s="78">
        <f>SUMIF(F150:F183,"POSSIBLE",C150:C183)+SUMIF(F150:F183,"INVERSE",C150:C183)</f>
        <v>1450</v>
      </c>
    </row>
    <row r="189" spans="1:7" x14ac:dyDescent="0.45">
      <c r="B189" s="62" t="s">
        <v>658</v>
      </c>
      <c r="C189" s="79">
        <f>SUMIF(F150:F183,"NO MATCH",C150:C183)</f>
        <v>5892.4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 record</vt:lpstr>
      <vt:lpstr>Reconciliation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</dc:creator>
  <cp:lastModifiedBy>Almuhannad Alnabhani</cp:lastModifiedBy>
  <cp:lastPrinted>2025-11-02T03:36:47Z</cp:lastPrinted>
  <dcterms:created xsi:type="dcterms:W3CDTF">2024-08-22T13:25:41Z</dcterms:created>
  <dcterms:modified xsi:type="dcterms:W3CDTF">2026-05-02T13:38:57Z</dcterms:modified>
</cp:coreProperties>
</file>